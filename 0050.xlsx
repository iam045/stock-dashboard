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4"/>
    <sheet state="visible" name="0050_List" sheetId="2" r:id="rId5"/>
  </sheets>
  <definedNames/>
  <calcPr/>
</workbook>
</file>

<file path=xl/sharedStrings.xml><?xml version="1.0" encoding="utf-8"?>
<sst xmlns="http://schemas.openxmlformats.org/spreadsheetml/2006/main" count="208" uniqueCount="157">
  <si>
    <t>股票代號</t>
  </si>
  <si>
    <t>股票名稱</t>
  </si>
  <si>
    <t>發行股數</t>
  </si>
  <si>
    <t>股價</t>
  </si>
  <si>
    <t>總市值</t>
  </si>
  <si>
    <t>市值排名</t>
  </si>
  <si>
    <t>第 1 欄</t>
  </si>
  <si>
    <t>台積電</t>
  </si>
  <si>
    <t>鴻海</t>
  </si>
  <si>
    <t>台達電</t>
  </si>
  <si>
    <t>聯發科</t>
  </si>
  <si>
    <t>富邦金</t>
  </si>
  <si>
    <t>廣達</t>
  </si>
  <si>
    <t>國泰金</t>
  </si>
  <si>
    <t>日月光投控</t>
  </si>
  <si>
    <t>中華電</t>
  </si>
  <si>
    <t>中信金</t>
  </si>
  <si>
    <t>緯穎</t>
  </si>
  <si>
    <t>聯電</t>
  </si>
  <si>
    <t>兆豐金</t>
  </si>
  <si>
    <t>台新新光金</t>
  </si>
  <si>
    <t>智邦</t>
  </si>
  <si>
    <t>奇鋐</t>
  </si>
  <si>
    <t>台光電</t>
  </si>
  <si>
    <t>玉山金</t>
  </si>
  <si>
    <t>南亞科</t>
  </si>
  <si>
    <t>南亞</t>
  </si>
  <si>
    <t>元大金</t>
  </si>
  <si>
    <t>國巨*</t>
  </si>
  <si>
    <t>台塑化</t>
  </si>
  <si>
    <t>緯創</t>
  </si>
  <si>
    <t>華碩</t>
  </si>
  <si>
    <t>健策</t>
  </si>
  <si>
    <t>統一</t>
  </si>
  <si>
    <t>華南金</t>
  </si>
  <si>
    <t>第一金</t>
  </si>
  <si>
    <t>永豐金</t>
  </si>
  <si>
    <t>台灣大</t>
  </si>
  <si>
    <t>長榮</t>
  </si>
  <si>
    <t>合庫金</t>
  </si>
  <si>
    <t>光寶科</t>
  </si>
  <si>
    <t>欣興</t>
  </si>
  <si>
    <t>致茂</t>
  </si>
  <si>
    <t>川湖</t>
  </si>
  <si>
    <t>和泰車</t>
  </si>
  <si>
    <t>遠傳</t>
  </si>
  <si>
    <t>華邦電</t>
  </si>
  <si>
    <t>貿聯-KY</t>
  </si>
  <si>
    <t>中鋼</t>
  </si>
  <si>
    <t>金像電</t>
  </si>
  <si>
    <t>創意</t>
  </si>
  <si>
    <t>凱基金</t>
  </si>
  <si>
    <t>大立光</t>
  </si>
  <si>
    <t>京元電子</t>
  </si>
  <si>
    <t>瑞昱</t>
  </si>
  <si>
    <t>台塑</t>
  </si>
  <si>
    <t>康霈*</t>
  </si>
  <si>
    <t>世芯-KY</t>
  </si>
  <si>
    <t>研華</t>
  </si>
  <si>
    <t>統一超</t>
  </si>
  <si>
    <t>彰銀</t>
  </si>
  <si>
    <t>聯詠</t>
  </si>
  <si>
    <t>華城</t>
  </si>
  <si>
    <t>萬海</t>
  </si>
  <si>
    <t>東元</t>
  </si>
  <si>
    <t>台化</t>
  </si>
  <si>
    <t>藥華藥</t>
  </si>
  <si>
    <t>上海商銀</t>
  </si>
  <si>
    <t>和碩</t>
  </si>
  <si>
    <t>中租-KY</t>
  </si>
  <si>
    <t>文曄</t>
  </si>
  <si>
    <t>長榮航</t>
  </si>
  <si>
    <t>亞德客-KY</t>
  </si>
  <si>
    <t>台泥</t>
  </si>
  <si>
    <t>陽明</t>
  </si>
  <si>
    <t>南電</t>
  </si>
  <si>
    <t>英業達</t>
  </si>
  <si>
    <t>技嘉</t>
  </si>
  <si>
    <t>健鼎</t>
  </si>
  <si>
    <t>臺企銀</t>
  </si>
  <si>
    <t>臻鼎-KY</t>
  </si>
  <si>
    <t>漢唐</t>
  </si>
  <si>
    <t>遠東新</t>
  </si>
  <si>
    <t>力積電</t>
  </si>
  <si>
    <t>嘉澤</t>
  </si>
  <si>
    <t>華新</t>
  </si>
  <si>
    <t>亞泥</t>
  </si>
  <si>
    <t>仁寶</t>
  </si>
  <si>
    <t>台中銀</t>
  </si>
  <si>
    <t>神達</t>
  </si>
  <si>
    <t>豐泰</t>
  </si>
  <si>
    <t>可成</t>
  </si>
  <si>
    <t>力成</t>
  </si>
  <si>
    <t>勤誠</t>
  </si>
  <si>
    <t>億豐</t>
  </si>
  <si>
    <t>儒鴻</t>
  </si>
  <si>
    <t>華航</t>
  </si>
  <si>
    <t>群創</t>
  </si>
  <si>
    <t>亞翔</t>
  </si>
  <si>
    <t>台玻</t>
  </si>
  <si>
    <t>AES-KY</t>
  </si>
  <si>
    <t>大聯大</t>
  </si>
  <si>
    <t>富世達</t>
  </si>
  <si>
    <t>聯強</t>
  </si>
  <si>
    <t>正新</t>
  </si>
  <si>
    <t>穎崴</t>
  </si>
  <si>
    <t>旭隼</t>
  </si>
  <si>
    <t>華通</t>
  </si>
  <si>
    <t>祥碩</t>
  </si>
  <si>
    <t>大成鋼</t>
  </si>
  <si>
    <t>禾榮科</t>
  </si>
  <si>
    <t>鴻準</t>
  </si>
  <si>
    <t>群光</t>
  </si>
  <si>
    <t>微星</t>
  </si>
  <si>
    <t>光聖</t>
  </si>
  <si>
    <t>寶成</t>
  </si>
  <si>
    <t>士電</t>
  </si>
  <si>
    <t>友達</t>
  </si>
  <si>
    <t>聯華</t>
  </si>
  <si>
    <t>聯邦銀</t>
  </si>
  <si>
    <t>潤泰新</t>
  </si>
  <si>
    <t>采鈺</t>
  </si>
  <si>
    <t>美時</t>
  </si>
  <si>
    <t>宏碁</t>
  </si>
  <si>
    <t>興富發</t>
  </si>
  <si>
    <t>矽力*-KY</t>
  </si>
  <si>
    <t>創見</t>
  </si>
  <si>
    <t>聚陽</t>
  </si>
  <si>
    <t>神基</t>
  </si>
  <si>
    <t>達發</t>
  </si>
  <si>
    <t>中興電</t>
  </si>
  <si>
    <t>台灣高鐵</t>
  </si>
  <si>
    <t>大同</t>
  </si>
  <si>
    <t>星宇航空</t>
  </si>
  <si>
    <t>鴻華先進-創</t>
  </si>
  <si>
    <t>愛普*</t>
  </si>
  <si>
    <t>上銀</t>
  </si>
  <si>
    <t>保瑞</t>
  </si>
  <si>
    <t>來億-KY</t>
  </si>
  <si>
    <t>精成科</t>
  </si>
  <si>
    <t>景碩</t>
  </si>
  <si>
    <t>旺宏</t>
  </si>
  <si>
    <t>遠東銀</t>
  </si>
  <si>
    <t>洋基工程</t>
  </si>
  <si>
    <t>國票金</t>
  </si>
  <si>
    <t>潤泰全</t>
  </si>
  <si>
    <t>富邦媒</t>
  </si>
  <si>
    <t>華新科</t>
  </si>
  <si>
    <t>崇越</t>
  </si>
  <si>
    <t>東陽</t>
  </si>
  <si>
    <t>瑞儀</t>
  </si>
  <si>
    <t>櫻花建</t>
  </si>
  <si>
    <t>裕融</t>
  </si>
  <si>
    <t>長榮航太</t>
  </si>
  <si>
    <t>群益證</t>
  </si>
  <si>
    <t>材料*-KY</t>
  </si>
  <si>
    <t>新代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</si>
</sst>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333333"/>
      <name val="Arial"/>
    </font>
    <font>
      <sz val="12.0"/>
      <color rgb="FF000000"/>
      <name val="Consolas"/>
    </font>
    <font>
      <sz val="11.0"/>
      <color rgb="FF000000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horizontal="right" readingOrder="0" shrinkToFit="0" vertical="center" wrapText="1"/>
    </xf>
    <xf borderId="0" fillId="2" fontId="3" numFmtId="3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0" xfId="0" applyFont="1"/>
    <xf borderId="0" fillId="0" fontId="5" numFmtId="0" xfId="0" applyFont="1"/>
  </cellXfs>
  <cellStyles count="1">
    <cellStyle xfId="0" name="Normal" builtinId="0"/>
  </cellStyles>
  <dxfs count="8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工作表1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151" displayName="股票市值_排名" name="股票市值_排名" id="1">
  <tableColumns count="7">
    <tableColumn name="股票代號" id="1"/>
    <tableColumn name="股票名稱" id="2"/>
    <tableColumn name="發行股數" id="3"/>
    <tableColumn name="股價" id="4"/>
    <tableColumn name="總市值" id="5"/>
    <tableColumn name="市值排名" id="6"/>
    <tableColumn name="第 1 欄" id="7"/>
  </tableColumns>
  <tableStyleInfo name="工作表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wantgoo.com/stock/6669" TargetMode="External"/><Relationship Id="rId42" Type="http://schemas.openxmlformats.org/officeDocument/2006/relationships/hyperlink" Target="https://www.wantgoo.com/stock/2383" TargetMode="External"/><Relationship Id="rId41" Type="http://schemas.openxmlformats.org/officeDocument/2006/relationships/hyperlink" Target="https://www.wantgoo.com/stock/2383" TargetMode="External"/><Relationship Id="rId44" Type="http://schemas.openxmlformats.org/officeDocument/2006/relationships/hyperlink" Target="https://www.wantgoo.com/stock/2301" TargetMode="External"/><Relationship Id="rId43" Type="http://schemas.openxmlformats.org/officeDocument/2006/relationships/hyperlink" Target="https://www.wantgoo.com/stock/2301" TargetMode="External"/><Relationship Id="rId46" Type="http://schemas.openxmlformats.org/officeDocument/2006/relationships/hyperlink" Target="https://www.wantgoo.com/stock/2892" TargetMode="External"/><Relationship Id="rId45" Type="http://schemas.openxmlformats.org/officeDocument/2006/relationships/hyperlink" Target="https://www.wantgoo.com/stock/2892" TargetMode="External"/><Relationship Id="rId48" Type="http://schemas.openxmlformats.org/officeDocument/2006/relationships/hyperlink" Target="https://www.wantgoo.com/stock/3017" TargetMode="External"/><Relationship Id="rId47" Type="http://schemas.openxmlformats.org/officeDocument/2006/relationships/hyperlink" Target="https://www.wantgoo.com/stock/3017" TargetMode="External"/><Relationship Id="rId49" Type="http://schemas.openxmlformats.org/officeDocument/2006/relationships/hyperlink" Target="https://www.wantgoo.com/stock/2890" TargetMode="External"/><Relationship Id="rId103" Type="http://schemas.openxmlformats.org/officeDocument/2006/relationships/drawing" Target="../drawings/drawing2.xml"/><Relationship Id="rId102" Type="http://schemas.openxmlformats.org/officeDocument/2006/relationships/hyperlink" Target="https://www.wantgoo.com/stock/6446" TargetMode="External"/><Relationship Id="rId101" Type="http://schemas.openxmlformats.org/officeDocument/2006/relationships/hyperlink" Target="https://www.wantgoo.com/stock/6446" TargetMode="External"/><Relationship Id="rId100" Type="http://schemas.openxmlformats.org/officeDocument/2006/relationships/hyperlink" Target="https://www.wantgoo.com/stock/6505" TargetMode="External"/><Relationship Id="rId31" Type="http://schemas.openxmlformats.org/officeDocument/2006/relationships/hyperlink" Target="https://www.wantgoo.com/stock/3231" TargetMode="External"/><Relationship Id="rId30" Type="http://schemas.openxmlformats.org/officeDocument/2006/relationships/hyperlink" Target="https://www.wantgoo.com/stock/2357" TargetMode="External"/><Relationship Id="rId33" Type="http://schemas.openxmlformats.org/officeDocument/2006/relationships/hyperlink" Target="https://www.wantgoo.com/stock/2887" TargetMode="External"/><Relationship Id="rId32" Type="http://schemas.openxmlformats.org/officeDocument/2006/relationships/hyperlink" Target="https://www.wantgoo.com/stock/3231" TargetMode="External"/><Relationship Id="rId35" Type="http://schemas.openxmlformats.org/officeDocument/2006/relationships/hyperlink" Target="https://www.wantgoo.com/stock/1216" TargetMode="External"/><Relationship Id="rId34" Type="http://schemas.openxmlformats.org/officeDocument/2006/relationships/hyperlink" Target="https://www.wantgoo.com/stock/2887" TargetMode="External"/><Relationship Id="rId37" Type="http://schemas.openxmlformats.org/officeDocument/2006/relationships/hyperlink" Target="https://www.wantgoo.com/stock/2885" TargetMode="External"/><Relationship Id="rId36" Type="http://schemas.openxmlformats.org/officeDocument/2006/relationships/hyperlink" Target="https://www.wantgoo.com/stock/1216" TargetMode="External"/><Relationship Id="rId39" Type="http://schemas.openxmlformats.org/officeDocument/2006/relationships/hyperlink" Target="https://www.wantgoo.com/stock/6669" TargetMode="External"/><Relationship Id="rId38" Type="http://schemas.openxmlformats.org/officeDocument/2006/relationships/hyperlink" Target="https://www.wantgoo.com/stock/2885" TargetMode="External"/><Relationship Id="rId20" Type="http://schemas.openxmlformats.org/officeDocument/2006/relationships/hyperlink" Target="https://www.wantgoo.com/stock/2303" TargetMode="External"/><Relationship Id="rId22" Type="http://schemas.openxmlformats.org/officeDocument/2006/relationships/hyperlink" Target="https://www.wantgoo.com/stock/2345" TargetMode="External"/><Relationship Id="rId21" Type="http://schemas.openxmlformats.org/officeDocument/2006/relationships/hyperlink" Target="https://www.wantgoo.com/stock/2345" TargetMode="External"/><Relationship Id="rId24" Type="http://schemas.openxmlformats.org/officeDocument/2006/relationships/hyperlink" Target="https://www.wantgoo.com/stock/2884" TargetMode="External"/><Relationship Id="rId23" Type="http://schemas.openxmlformats.org/officeDocument/2006/relationships/hyperlink" Target="https://www.wantgoo.com/stock/2884" TargetMode="External"/><Relationship Id="rId26" Type="http://schemas.openxmlformats.org/officeDocument/2006/relationships/hyperlink" Target="https://www.wantgoo.com/stock/2412" TargetMode="External"/><Relationship Id="rId25" Type="http://schemas.openxmlformats.org/officeDocument/2006/relationships/hyperlink" Target="https://www.wantgoo.com/stock/2412" TargetMode="External"/><Relationship Id="rId28" Type="http://schemas.openxmlformats.org/officeDocument/2006/relationships/hyperlink" Target="https://www.wantgoo.com/stock/2886" TargetMode="External"/><Relationship Id="rId27" Type="http://schemas.openxmlformats.org/officeDocument/2006/relationships/hyperlink" Target="https://www.wantgoo.com/stock/2886" TargetMode="External"/><Relationship Id="rId29" Type="http://schemas.openxmlformats.org/officeDocument/2006/relationships/hyperlink" Target="https://www.wantgoo.com/stock/2357" TargetMode="External"/><Relationship Id="rId95" Type="http://schemas.openxmlformats.org/officeDocument/2006/relationships/hyperlink" Target="https://www.wantgoo.com/stock/2615" TargetMode="External"/><Relationship Id="rId94" Type="http://schemas.openxmlformats.org/officeDocument/2006/relationships/hyperlink" Target="https://www.wantgoo.com/stock/2912" TargetMode="External"/><Relationship Id="rId97" Type="http://schemas.openxmlformats.org/officeDocument/2006/relationships/hyperlink" Target="https://www.wantgoo.com/stock/2609" TargetMode="External"/><Relationship Id="rId96" Type="http://schemas.openxmlformats.org/officeDocument/2006/relationships/hyperlink" Target="https://www.wantgoo.com/stock/2615" TargetMode="External"/><Relationship Id="rId11" Type="http://schemas.openxmlformats.org/officeDocument/2006/relationships/hyperlink" Target="https://www.wantgoo.com/stock/2891" TargetMode="External"/><Relationship Id="rId99" Type="http://schemas.openxmlformats.org/officeDocument/2006/relationships/hyperlink" Target="https://www.wantgoo.com/stock/6505" TargetMode="External"/><Relationship Id="rId10" Type="http://schemas.openxmlformats.org/officeDocument/2006/relationships/hyperlink" Target="https://www.wantgoo.com/stock/2382" TargetMode="External"/><Relationship Id="rId98" Type="http://schemas.openxmlformats.org/officeDocument/2006/relationships/hyperlink" Target="https://www.wantgoo.com/stock/2609" TargetMode="External"/><Relationship Id="rId13" Type="http://schemas.openxmlformats.org/officeDocument/2006/relationships/hyperlink" Target="https://www.wantgoo.com/stock/2881" TargetMode="External"/><Relationship Id="rId12" Type="http://schemas.openxmlformats.org/officeDocument/2006/relationships/hyperlink" Target="https://www.wantgoo.com/stock/2891" TargetMode="External"/><Relationship Id="rId91" Type="http://schemas.openxmlformats.org/officeDocument/2006/relationships/hyperlink" Target="https://www.wantgoo.com/stock/4938" TargetMode="External"/><Relationship Id="rId90" Type="http://schemas.openxmlformats.org/officeDocument/2006/relationships/hyperlink" Target="https://www.wantgoo.com/stock/2395" TargetMode="External"/><Relationship Id="rId93" Type="http://schemas.openxmlformats.org/officeDocument/2006/relationships/hyperlink" Target="https://www.wantgoo.com/stock/2912" TargetMode="External"/><Relationship Id="rId92" Type="http://schemas.openxmlformats.org/officeDocument/2006/relationships/hyperlink" Target="https://www.wantgoo.com/stock/4938" TargetMode="External"/><Relationship Id="rId15" Type="http://schemas.openxmlformats.org/officeDocument/2006/relationships/hyperlink" Target="https://www.wantgoo.com/stock/2882" TargetMode="External"/><Relationship Id="rId14" Type="http://schemas.openxmlformats.org/officeDocument/2006/relationships/hyperlink" Target="https://www.wantgoo.com/stock/2881" TargetMode="External"/><Relationship Id="rId17" Type="http://schemas.openxmlformats.org/officeDocument/2006/relationships/hyperlink" Target="https://www.wantgoo.com/stock/3711" TargetMode="External"/><Relationship Id="rId16" Type="http://schemas.openxmlformats.org/officeDocument/2006/relationships/hyperlink" Target="https://www.wantgoo.com/stock/2882" TargetMode="External"/><Relationship Id="rId19" Type="http://schemas.openxmlformats.org/officeDocument/2006/relationships/hyperlink" Target="https://www.wantgoo.com/stock/2303" TargetMode="External"/><Relationship Id="rId18" Type="http://schemas.openxmlformats.org/officeDocument/2006/relationships/hyperlink" Target="https://www.wantgoo.com/stock/3711" TargetMode="External"/><Relationship Id="rId84" Type="http://schemas.openxmlformats.org/officeDocument/2006/relationships/hyperlink" Target="https://www.wantgoo.com/stock/1301" TargetMode="External"/><Relationship Id="rId83" Type="http://schemas.openxmlformats.org/officeDocument/2006/relationships/hyperlink" Target="https://www.wantgoo.com/stock/1301" TargetMode="External"/><Relationship Id="rId86" Type="http://schemas.openxmlformats.org/officeDocument/2006/relationships/hyperlink" Target="https://www.wantgoo.com/stock/3045" TargetMode="External"/><Relationship Id="rId85" Type="http://schemas.openxmlformats.org/officeDocument/2006/relationships/hyperlink" Target="https://www.wantgoo.com/stock/3045" TargetMode="External"/><Relationship Id="rId88" Type="http://schemas.openxmlformats.org/officeDocument/2006/relationships/hyperlink" Target="https://www.wantgoo.com/stock/4904" TargetMode="External"/><Relationship Id="rId87" Type="http://schemas.openxmlformats.org/officeDocument/2006/relationships/hyperlink" Target="https://www.wantgoo.com/stock/4904" TargetMode="External"/><Relationship Id="rId89" Type="http://schemas.openxmlformats.org/officeDocument/2006/relationships/hyperlink" Target="https://www.wantgoo.com/stock/2395" TargetMode="External"/><Relationship Id="rId80" Type="http://schemas.openxmlformats.org/officeDocument/2006/relationships/hyperlink" Target="https://www.wantgoo.com/stock/2207" TargetMode="External"/><Relationship Id="rId82" Type="http://schemas.openxmlformats.org/officeDocument/2006/relationships/hyperlink" Target="https://www.wantgoo.com/stock/5876" TargetMode="External"/><Relationship Id="rId81" Type="http://schemas.openxmlformats.org/officeDocument/2006/relationships/hyperlink" Target="https://www.wantgoo.com/stock/5876" TargetMode="External"/><Relationship Id="rId1" Type="http://schemas.openxmlformats.org/officeDocument/2006/relationships/hyperlink" Target="https://www.wantgoo.com/stock/2330" TargetMode="External"/><Relationship Id="rId2" Type="http://schemas.openxmlformats.org/officeDocument/2006/relationships/hyperlink" Target="https://www.wantgoo.com/stock/2330" TargetMode="External"/><Relationship Id="rId3" Type="http://schemas.openxmlformats.org/officeDocument/2006/relationships/hyperlink" Target="https://www.wantgoo.com/stock/2317" TargetMode="External"/><Relationship Id="rId4" Type="http://schemas.openxmlformats.org/officeDocument/2006/relationships/hyperlink" Target="https://www.wantgoo.com/stock/2317" TargetMode="External"/><Relationship Id="rId9" Type="http://schemas.openxmlformats.org/officeDocument/2006/relationships/hyperlink" Target="https://www.wantgoo.com/stock/2382" TargetMode="External"/><Relationship Id="rId5" Type="http://schemas.openxmlformats.org/officeDocument/2006/relationships/hyperlink" Target="https://www.wantgoo.com/stock/2454" TargetMode="External"/><Relationship Id="rId6" Type="http://schemas.openxmlformats.org/officeDocument/2006/relationships/hyperlink" Target="https://www.wantgoo.com/stock/2454" TargetMode="External"/><Relationship Id="rId7" Type="http://schemas.openxmlformats.org/officeDocument/2006/relationships/hyperlink" Target="https://www.wantgoo.com/stock/2308" TargetMode="External"/><Relationship Id="rId8" Type="http://schemas.openxmlformats.org/officeDocument/2006/relationships/hyperlink" Target="https://www.wantgoo.com/stock/2308" TargetMode="External"/><Relationship Id="rId73" Type="http://schemas.openxmlformats.org/officeDocument/2006/relationships/hyperlink" Target="https://www.wantgoo.com/stock/6919" TargetMode="External"/><Relationship Id="rId72" Type="http://schemas.openxmlformats.org/officeDocument/2006/relationships/hyperlink" Target="https://www.wantgoo.com/stock/2603" TargetMode="External"/><Relationship Id="rId75" Type="http://schemas.openxmlformats.org/officeDocument/2006/relationships/hyperlink" Target="https://www.wantgoo.com/stock/2059" TargetMode="External"/><Relationship Id="rId74" Type="http://schemas.openxmlformats.org/officeDocument/2006/relationships/hyperlink" Target="https://www.wantgoo.com/stock/6919" TargetMode="External"/><Relationship Id="rId77" Type="http://schemas.openxmlformats.org/officeDocument/2006/relationships/hyperlink" Target="https://www.wantgoo.com/stock/5871" TargetMode="External"/><Relationship Id="rId76" Type="http://schemas.openxmlformats.org/officeDocument/2006/relationships/hyperlink" Target="https://www.wantgoo.com/stock/2059" TargetMode="External"/><Relationship Id="rId79" Type="http://schemas.openxmlformats.org/officeDocument/2006/relationships/hyperlink" Target="https://www.wantgoo.com/stock/2207" TargetMode="External"/><Relationship Id="rId78" Type="http://schemas.openxmlformats.org/officeDocument/2006/relationships/hyperlink" Target="https://www.wantgoo.com/stock/5871" TargetMode="External"/><Relationship Id="rId71" Type="http://schemas.openxmlformats.org/officeDocument/2006/relationships/hyperlink" Target="https://www.wantgoo.com/stock/2603" TargetMode="External"/><Relationship Id="rId70" Type="http://schemas.openxmlformats.org/officeDocument/2006/relationships/hyperlink" Target="https://www.wantgoo.com/stock/1303" TargetMode="External"/><Relationship Id="rId62" Type="http://schemas.openxmlformats.org/officeDocument/2006/relationships/hyperlink" Target="https://www.wantgoo.com/stock/3034" TargetMode="External"/><Relationship Id="rId61" Type="http://schemas.openxmlformats.org/officeDocument/2006/relationships/hyperlink" Target="https://www.wantgoo.com/stock/3034" TargetMode="External"/><Relationship Id="rId64" Type="http://schemas.openxmlformats.org/officeDocument/2006/relationships/hyperlink" Target="https://www.wantgoo.com/stock/2883" TargetMode="External"/><Relationship Id="rId63" Type="http://schemas.openxmlformats.org/officeDocument/2006/relationships/hyperlink" Target="https://www.wantgoo.com/stock/2883" TargetMode="External"/><Relationship Id="rId66" Type="http://schemas.openxmlformats.org/officeDocument/2006/relationships/hyperlink" Target="https://www.wantgoo.com/stock/3008" TargetMode="External"/><Relationship Id="rId65" Type="http://schemas.openxmlformats.org/officeDocument/2006/relationships/hyperlink" Target="https://www.wantgoo.com/stock/3008" TargetMode="External"/><Relationship Id="rId68" Type="http://schemas.openxmlformats.org/officeDocument/2006/relationships/hyperlink" Target="https://www.wantgoo.com/stock/2002" TargetMode="External"/><Relationship Id="rId67" Type="http://schemas.openxmlformats.org/officeDocument/2006/relationships/hyperlink" Target="https://www.wantgoo.com/stock/2002" TargetMode="External"/><Relationship Id="rId60" Type="http://schemas.openxmlformats.org/officeDocument/2006/relationships/hyperlink" Target="https://www.wantgoo.com/stock/5880" TargetMode="External"/><Relationship Id="rId69" Type="http://schemas.openxmlformats.org/officeDocument/2006/relationships/hyperlink" Target="https://www.wantgoo.com/stock/1303" TargetMode="External"/><Relationship Id="rId51" Type="http://schemas.openxmlformats.org/officeDocument/2006/relationships/hyperlink" Target="https://www.wantgoo.com/stock/2880" TargetMode="External"/><Relationship Id="rId50" Type="http://schemas.openxmlformats.org/officeDocument/2006/relationships/hyperlink" Target="https://www.wantgoo.com/stock/2890" TargetMode="External"/><Relationship Id="rId53" Type="http://schemas.openxmlformats.org/officeDocument/2006/relationships/hyperlink" Target="https://www.wantgoo.com/stock/3661" TargetMode="External"/><Relationship Id="rId52" Type="http://schemas.openxmlformats.org/officeDocument/2006/relationships/hyperlink" Target="https://www.wantgoo.com/stock/2880" TargetMode="External"/><Relationship Id="rId55" Type="http://schemas.openxmlformats.org/officeDocument/2006/relationships/hyperlink" Target="https://www.wantgoo.com/stock/2379" TargetMode="External"/><Relationship Id="rId54" Type="http://schemas.openxmlformats.org/officeDocument/2006/relationships/hyperlink" Target="https://www.wantgoo.com/stock/3661" TargetMode="External"/><Relationship Id="rId57" Type="http://schemas.openxmlformats.org/officeDocument/2006/relationships/hyperlink" Target="https://www.wantgoo.com/stock/2327" TargetMode="External"/><Relationship Id="rId56" Type="http://schemas.openxmlformats.org/officeDocument/2006/relationships/hyperlink" Target="https://www.wantgoo.com/stock/2379" TargetMode="External"/><Relationship Id="rId59" Type="http://schemas.openxmlformats.org/officeDocument/2006/relationships/hyperlink" Target="https://www.wantgoo.com/stock/5880" TargetMode="External"/><Relationship Id="rId58" Type="http://schemas.openxmlformats.org/officeDocument/2006/relationships/hyperlink" Target="https://www.wantgoo.com/stock/232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3" max="3" width="1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2330.0</v>
      </c>
      <c r="B2" s="4" t="s">
        <v>7</v>
      </c>
      <c r="C2" s="5">
        <f>IFERROR(__xludf.DUMMYFUNCTION("GOOGLEFINANCE(""TPE:"" &amp; A2, ""marketcap"") / GOOGLEFINANCE(""TPE:"" &amp; A2, ""price"")"),2.593252E10)</f>
        <v>25932520000</v>
      </c>
      <c r="D2" s="6">
        <f>IFERROR(__xludf.DUMMYFUNCTION("IF(ISBLANK(A2),,GOOGLEFINANCE(""TPE:""&amp;A2, ""price""))"),1505.0)</f>
        <v>1505</v>
      </c>
      <c r="E2" s="7">
        <f t="shared" ref="E2:E151" si="1">IF(ISBLANK(D2),, (C2 * D2) / 100000000)</f>
        <v>390284.426</v>
      </c>
      <c r="F2" s="6">
        <f t="shared" ref="F2:F151" si="2">RANK(E2, E$2:E$100)</f>
        <v>1</v>
      </c>
      <c r="G2" s="8" t="str">
        <f>IF(COUNTIF('0050_List'!A:A, A2), "✅", "")</f>
        <v>✅</v>
      </c>
    </row>
    <row r="3" ht="22.5" customHeight="1">
      <c r="A3" s="3">
        <v>2317.0</v>
      </c>
      <c r="B3" s="4" t="s">
        <v>8</v>
      </c>
      <c r="C3" s="5">
        <f>IFERROR(__xludf.DUMMYFUNCTION("GOOGLEFINANCE(""TPE:"" &amp; A3, ""marketcap"") / GOOGLEFINANCE(""TPE:"" &amp; A3, ""price"")"),1.396422E10)</f>
        <v>13964220000</v>
      </c>
      <c r="D3" s="6">
        <f>IFERROR(__xludf.DUMMYFUNCTION("IF(ISBLANK(A3),,GOOGLEFINANCE(""TPE:""&amp;A3, ""price""))"),233.5)</f>
        <v>233.5</v>
      </c>
      <c r="E3" s="7">
        <f t="shared" si="1"/>
        <v>32606.4537</v>
      </c>
      <c r="F3" s="6">
        <f t="shared" si="2"/>
        <v>2</v>
      </c>
      <c r="G3" s="8" t="str">
        <f>IF(COUNTIF('0050_List'!A:A, A3), "✅", "")</f>
        <v>✅</v>
      </c>
    </row>
    <row r="4" ht="22.5" customHeight="1">
      <c r="A4" s="3">
        <v>2308.0</v>
      </c>
      <c r="B4" s="4" t="s">
        <v>9</v>
      </c>
      <c r="C4" s="5">
        <f>IFERROR(__xludf.DUMMYFUNCTION("GOOGLEFINANCE(""TPE:"" &amp; A4, ""marketcap"") / GOOGLEFINANCE(""TPE:"" &amp; A4, ""price"")"),2.597543E9)</f>
        <v>2597543000</v>
      </c>
      <c r="D4" s="6">
        <f>IFERROR(__xludf.DUMMYFUNCTION("IF(ISBLANK(A4),,GOOGLEFINANCE(""TPE:""&amp;A4, ""price""))"),968.0)</f>
        <v>968</v>
      </c>
      <c r="E4" s="7">
        <f t="shared" si="1"/>
        <v>25144.21624</v>
      </c>
      <c r="F4" s="6">
        <f t="shared" si="2"/>
        <v>3</v>
      </c>
      <c r="G4" s="8" t="str">
        <f>IF(COUNTIF('0050_List'!A:A, A4), "✅", "")</f>
        <v>✅</v>
      </c>
      <c r="I4" s="9"/>
    </row>
    <row r="5" ht="22.5" customHeight="1">
      <c r="A5" s="3">
        <v>2454.0</v>
      </c>
      <c r="B5" s="4" t="s">
        <v>10</v>
      </c>
      <c r="C5" s="5">
        <f>IFERROR(__xludf.DUMMYFUNCTION("GOOGLEFINANCE(""TPE:"" &amp; A5, ""marketcap"") / GOOGLEFINANCE(""TPE:"" &amp; A5, ""price"")"),1.603912E9)</f>
        <v>1603912000</v>
      </c>
      <c r="D5" s="6">
        <f>IFERROR(__xludf.DUMMYFUNCTION("IF(ISBLANK(A5),,GOOGLEFINANCE(""TPE:""&amp;A5, ""price""))"),1460.0)</f>
        <v>1460</v>
      </c>
      <c r="E5" s="7">
        <f t="shared" si="1"/>
        <v>23417.1152</v>
      </c>
      <c r="F5" s="6">
        <f t="shared" si="2"/>
        <v>4</v>
      </c>
      <c r="G5" s="8" t="str">
        <f>IF(COUNTIF('0050_List'!A:A, A5), "✅", "")</f>
        <v>✅</v>
      </c>
    </row>
    <row r="6" ht="22.5" customHeight="1">
      <c r="A6" s="3">
        <v>2881.0</v>
      </c>
      <c r="B6" s="4" t="s">
        <v>11</v>
      </c>
      <c r="C6" s="5">
        <f>IFERROR(__xludf.DUMMYFUNCTION("GOOGLEFINANCE(""TPE:"" &amp; A6, ""marketcap"") / GOOGLEFINANCE(""TPE:"" &amp; A6, ""price"")"),1.5025579518329832E10)</f>
        <v>15025579518</v>
      </c>
      <c r="D6" s="6">
        <f>IFERROR(__xludf.DUMMYFUNCTION("IF(ISBLANK(A6),,GOOGLEFINANCE(""TPE:""&amp;A6, ""price""))"),95.2)</f>
        <v>95.2</v>
      </c>
      <c r="E6" s="7">
        <f t="shared" si="1"/>
        <v>14304.3517</v>
      </c>
      <c r="F6" s="6">
        <f t="shared" si="2"/>
        <v>5</v>
      </c>
      <c r="G6" s="8" t="str">
        <f>IF(COUNTIF('0050_List'!A:A, A6), "✅", "")</f>
        <v>✅</v>
      </c>
      <c r="I6" s="9"/>
    </row>
    <row r="7" ht="22.5" customHeight="1">
      <c r="A7" s="3">
        <v>2382.0</v>
      </c>
      <c r="B7" s="4" t="s">
        <v>12</v>
      </c>
      <c r="C7" s="5">
        <f>IFERROR(__xludf.DUMMYFUNCTION("GOOGLEFINANCE(""TPE:"" &amp; A7, ""marketcap"") / GOOGLEFINANCE(""TPE:"" &amp; A7, ""price"")"),3.862628E9)</f>
        <v>3862628000</v>
      </c>
      <c r="D7" s="6">
        <f>IFERROR(__xludf.DUMMYFUNCTION("IF(ISBLANK(A7),,GOOGLEFINANCE(""TPE:""&amp;A7, ""price""))"),292.5)</f>
        <v>292.5</v>
      </c>
      <c r="E7" s="7">
        <f t="shared" si="1"/>
        <v>11298.1869</v>
      </c>
      <c r="F7" s="6">
        <f t="shared" si="2"/>
        <v>6</v>
      </c>
      <c r="G7" s="8" t="str">
        <f>IF(COUNTIF('0050_List'!A:A, A7), "✅", "")</f>
        <v>✅</v>
      </c>
    </row>
    <row r="8" ht="22.5" customHeight="1">
      <c r="A8" s="3">
        <v>2882.0</v>
      </c>
      <c r="B8" s="4" t="s">
        <v>13</v>
      </c>
      <c r="C8" s="5">
        <f>IFERROR(__xludf.DUMMYFUNCTION("GOOGLEFINANCE(""TPE:"" &amp; A8, ""marketcap"") / GOOGLEFINANCE(""TPE:"" &amp; A8, ""price"")"),1.601318E10)</f>
        <v>16013180000</v>
      </c>
      <c r="D8" s="6">
        <f>IFERROR(__xludf.DUMMYFUNCTION("IF(ISBLANK(A8),,GOOGLEFINANCE(""TPE:""&amp;A8, ""price""))"),68.5)</f>
        <v>68.5</v>
      </c>
      <c r="E8" s="7">
        <f t="shared" si="1"/>
        <v>10969.0283</v>
      </c>
      <c r="F8" s="6">
        <f t="shared" si="2"/>
        <v>7</v>
      </c>
      <c r="G8" s="8" t="str">
        <f>IF(COUNTIF('0050_List'!A:A, A8), "✅", "")</f>
        <v>✅</v>
      </c>
    </row>
    <row r="9" ht="22.5" customHeight="1">
      <c r="A9" s="3">
        <v>3711.0</v>
      </c>
      <c r="B9" s="4" t="s">
        <v>14</v>
      </c>
      <c r="C9" s="5">
        <f>IFERROR(__xludf.DUMMYFUNCTION("GOOGLEFINANCE(""TPE:"" &amp; A9, ""marketcap"") / GOOGLEFINANCE(""TPE:"" &amp; A9, ""price"")"),4.436143E9)</f>
        <v>4436143000</v>
      </c>
      <c r="D9" s="6">
        <f>IFERROR(__xludf.DUMMYFUNCTION("IF(ISBLANK(A9),,GOOGLEFINANCE(""TPE:""&amp;A9, ""price""))"),244.5)</f>
        <v>244.5</v>
      </c>
      <c r="E9" s="7">
        <f t="shared" si="1"/>
        <v>10846.36964</v>
      </c>
      <c r="F9" s="6">
        <f t="shared" si="2"/>
        <v>8</v>
      </c>
      <c r="G9" s="8" t="str">
        <f>IF(COUNTIF('0050_List'!A:A, A9), "✅", "")</f>
        <v>✅</v>
      </c>
    </row>
    <row r="10" ht="22.5" customHeight="1">
      <c r="A10" s="3">
        <v>2412.0</v>
      </c>
      <c r="B10" s="4" t="s">
        <v>15</v>
      </c>
      <c r="C10" s="5">
        <f>IFERROR(__xludf.DUMMYFUNCTION("GOOGLEFINANCE(""TPE:"" &amp; A10, ""marketcap"") / GOOGLEFINANCE(""TPE:"" &amp; A10, ""price"")"),7.757444E9)</f>
        <v>7757444000</v>
      </c>
      <c r="D10" s="6">
        <f>IFERROR(__xludf.DUMMYFUNCTION("IF(ISBLANK(A10),,GOOGLEFINANCE(""TPE:""&amp;A10, ""price""))"),129.5)</f>
        <v>129.5</v>
      </c>
      <c r="E10" s="7">
        <f t="shared" si="1"/>
        <v>10045.88998</v>
      </c>
      <c r="F10" s="6">
        <f t="shared" si="2"/>
        <v>9</v>
      </c>
      <c r="G10" s="8" t="str">
        <f>IF(COUNTIF('0050_List'!A:A, A10), "✅", "")</f>
        <v>✅</v>
      </c>
    </row>
    <row r="11" ht="22.5" customHeight="1">
      <c r="A11" s="3">
        <v>2891.0</v>
      </c>
      <c r="B11" s="4" t="s">
        <v>16</v>
      </c>
      <c r="C11" s="5">
        <f>IFERROR(__xludf.DUMMYFUNCTION("GOOGLEFINANCE(""TPE:"" &amp; A11, ""marketcap"") / GOOGLEFINANCE(""TPE:"" &amp; A11, ""price"")"),2.0352699653392857E10)</f>
        <v>20352699653</v>
      </c>
      <c r="D11" s="6">
        <f>IFERROR(__xludf.DUMMYFUNCTION("IF(ISBLANK(A11),,GOOGLEFINANCE(""TPE:""&amp;A11, ""price""))"),44.8)</f>
        <v>44.8</v>
      </c>
      <c r="E11" s="7">
        <f t="shared" si="1"/>
        <v>9118.009445</v>
      </c>
      <c r="F11" s="6">
        <f t="shared" si="2"/>
        <v>10</v>
      </c>
      <c r="G11" s="8" t="str">
        <f>IF(COUNTIF('0050_List'!A:A, A11), "✅", "")</f>
        <v>✅</v>
      </c>
    </row>
    <row r="12" ht="22.5" customHeight="1">
      <c r="A12" s="3">
        <v>6669.0</v>
      </c>
      <c r="B12" s="4" t="s">
        <v>17</v>
      </c>
      <c r="C12" s="5">
        <f>IFERROR(__xludf.DUMMYFUNCTION("GOOGLEFINANCE(""TPE:"" &amp; A12, ""marketcap"") / GOOGLEFINANCE(""TPE:"" &amp; A12, ""price"")"),1.858407E8)</f>
        <v>185840700</v>
      </c>
      <c r="D12" s="6">
        <f>IFERROR(__xludf.DUMMYFUNCTION("IF(ISBLANK(A12),,GOOGLEFINANCE(""TPE:""&amp;A12, ""price""))"),4525.0)</f>
        <v>4525</v>
      </c>
      <c r="E12" s="7">
        <f t="shared" si="1"/>
        <v>8409.291675</v>
      </c>
      <c r="F12" s="6">
        <f t="shared" si="2"/>
        <v>11</v>
      </c>
      <c r="G12" s="8" t="str">
        <f>IF(COUNTIF('0050_List'!A:A, A12), "✅", "")</f>
        <v>✅</v>
      </c>
    </row>
    <row r="13" ht="22.5" customHeight="1">
      <c r="A13" s="3">
        <v>2303.0</v>
      </c>
      <c r="B13" s="4" t="s">
        <v>18</v>
      </c>
      <c r="C13" s="5">
        <f>IFERROR(__xludf.DUMMYFUNCTION("GOOGLEFINANCE(""TPE:"" &amp; A13, ""marketcap"") / GOOGLEFINANCE(""TPE:"" &amp; A13, ""price"")"),1.2555269611793312E10)</f>
        <v>12555269612</v>
      </c>
      <c r="D13" s="6">
        <f>IFERROR(__xludf.DUMMYFUNCTION("IF(ISBLANK(A13),,GOOGLEFINANCE(""TPE:""&amp;A13, ""price""))"),49.35)</f>
        <v>49.35</v>
      </c>
      <c r="E13" s="7">
        <f t="shared" si="1"/>
        <v>6196.025553</v>
      </c>
      <c r="F13" s="6">
        <f t="shared" si="2"/>
        <v>12</v>
      </c>
      <c r="G13" s="8" t="str">
        <f>IF(COUNTIF('0050_List'!A:A, A13), "✅", "")</f>
        <v>✅</v>
      </c>
    </row>
    <row r="14" ht="22.5" customHeight="1">
      <c r="A14" s="3">
        <v>2886.0</v>
      </c>
      <c r="B14" s="4" t="s">
        <v>19</v>
      </c>
      <c r="C14" s="5">
        <f>IFERROR(__xludf.DUMMYFUNCTION("GOOGLEFINANCE(""TPE:"" &amp; A14, ""marketcap"") / GOOGLEFINANCE(""TPE:"" &amp; A14, ""price"")"),1.4833370556777369E10)</f>
        <v>14833370557</v>
      </c>
      <c r="D14" s="6">
        <f>IFERROR(__xludf.DUMMYFUNCTION("IF(ISBLANK(A14),,GOOGLEFINANCE(""TPE:""&amp;A14, ""price""))"),40.65)</f>
        <v>40.65</v>
      </c>
      <c r="E14" s="7">
        <f t="shared" si="1"/>
        <v>6029.765131</v>
      </c>
      <c r="F14" s="6">
        <f t="shared" si="2"/>
        <v>14</v>
      </c>
      <c r="G14" s="8" t="str">
        <f>IF(COUNTIF('0050_List'!A:A, A14), "✅", "")</f>
        <v>✅</v>
      </c>
    </row>
    <row r="15" ht="22.5" customHeight="1">
      <c r="A15" s="3">
        <v>2887.0</v>
      </c>
      <c r="B15" s="4" t="s">
        <v>20</v>
      </c>
      <c r="C15" s="5">
        <f>IFERROR(__xludf.DUMMYFUNCTION("GOOGLEFINANCE(""TPE:"" &amp; A15, ""marketcap"") / GOOGLEFINANCE(""TPE:"" &amp; A15, ""price"")"),2.926269941707572E10)</f>
        <v>29262699417</v>
      </c>
      <c r="D15" s="6">
        <f>IFERROR(__xludf.DUMMYFUNCTION("IF(ISBLANK(A15),,GOOGLEFINANCE(""TPE:""&amp;A15, ""price""))"),19.15)</f>
        <v>19.15</v>
      </c>
      <c r="E15" s="7">
        <f t="shared" si="1"/>
        <v>5603.806938</v>
      </c>
      <c r="F15" s="6">
        <f t="shared" si="2"/>
        <v>16</v>
      </c>
      <c r="G15" s="8" t="str">
        <f>IF(COUNTIF('0050_List'!A:A, A15), "✅", "")</f>
        <v>✅</v>
      </c>
    </row>
    <row r="16" ht="22.5" customHeight="1">
      <c r="A16" s="3">
        <v>2345.0</v>
      </c>
      <c r="B16" s="4" t="s">
        <v>21</v>
      </c>
      <c r="C16" s="5">
        <f>IFERROR(__xludf.DUMMYFUNCTION("GOOGLEFINANCE(""TPE:"" &amp; A16, ""marketcap"") / GOOGLEFINANCE(""TPE:"" &amp; A16, ""price"")"),5.611179E8)</f>
        <v>561117900</v>
      </c>
      <c r="D16" s="6">
        <f>IFERROR(__xludf.DUMMYFUNCTION("IF(ISBLANK(A16),,GOOGLEFINANCE(""TPE:""&amp;A16, ""price""))"),1090.0)</f>
        <v>1090</v>
      </c>
      <c r="E16" s="7">
        <f t="shared" si="1"/>
        <v>6116.18511</v>
      </c>
      <c r="F16" s="6">
        <f t="shared" si="2"/>
        <v>13</v>
      </c>
      <c r="G16" s="8" t="str">
        <f>IF(COUNTIF('0050_List'!A:A, A16), "✅", "")</f>
        <v>✅</v>
      </c>
    </row>
    <row r="17" ht="22.5" customHeight="1">
      <c r="A17" s="3">
        <v>3017.0</v>
      </c>
      <c r="B17" s="4" t="s">
        <v>22</v>
      </c>
      <c r="C17" s="5">
        <f>IFERROR(__xludf.DUMMYFUNCTION("GOOGLEFINANCE(""TPE:"" &amp; A17, ""marketcap"") / GOOGLEFINANCE(""TPE:"" &amp; A17, ""price"")"),3.881796E8)</f>
        <v>388179600</v>
      </c>
      <c r="D17" s="6">
        <f>IFERROR(__xludf.DUMMYFUNCTION("IF(ISBLANK(A17),,GOOGLEFINANCE(""TPE:""&amp;A17, ""price""))"),1425.0)</f>
        <v>1425</v>
      </c>
      <c r="E17" s="7">
        <f t="shared" si="1"/>
        <v>5531.5593</v>
      </c>
      <c r="F17" s="6">
        <f t="shared" si="2"/>
        <v>17</v>
      </c>
      <c r="G17" s="8" t="str">
        <f>IF(COUNTIF('0050_List'!A:A, A17), "✅", "")</f>
        <v>✅</v>
      </c>
    </row>
    <row r="18" ht="22.5" customHeight="1">
      <c r="A18" s="3">
        <v>2383.0</v>
      </c>
      <c r="B18" s="4" t="s">
        <v>23</v>
      </c>
      <c r="C18" s="5">
        <f>IFERROR(__xludf.DUMMYFUNCTION("GOOGLEFINANCE(""TPE:"" &amp; A18, ""marketcap"") / GOOGLEFINANCE(""TPE:"" &amp; A18, ""price"")"),3.575354E8)</f>
        <v>357535400</v>
      </c>
      <c r="D18" s="6">
        <f>IFERROR(__xludf.DUMMYFUNCTION("IF(ISBLANK(A18),,GOOGLEFINANCE(""TPE:""&amp;A18, ""price""))"),1600.0)</f>
        <v>1600</v>
      </c>
      <c r="E18" s="7">
        <f t="shared" si="1"/>
        <v>5720.5664</v>
      </c>
      <c r="F18" s="6">
        <f t="shared" si="2"/>
        <v>15</v>
      </c>
      <c r="G18" s="8" t="str">
        <f>IF(COUNTIF('0050_List'!A:A, A18), "✅", "")</f>
        <v>✅</v>
      </c>
    </row>
    <row r="19" ht="22.5" customHeight="1">
      <c r="A19" s="3">
        <v>2884.0</v>
      </c>
      <c r="B19" s="4" t="s">
        <v>24</v>
      </c>
      <c r="C19" s="5">
        <f>IFERROR(__xludf.DUMMYFUNCTION("GOOGLEFINANCE(""TPE:"" &amp; A19, ""marketcap"") / GOOGLEFINANCE(""TPE:"" &amp; A19, ""price"")"),1.6173999231152647E10)</f>
        <v>16173999231</v>
      </c>
      <c r="D19" s="6">
        <f>IFERROR(__xludf.DUMMYFUNCTION("IF(ISBLANK(A19),,GOOGLEFINANCE(""TPE:""&amp;A19, ""price""))"),32.1)</f>
        <v>32.1</v>
      </c>
      <c r="E19" s="7">
        <f t="shared" si="1"/>
        <v>5191.853753</v>
      </c>
      <c r="F19" s="6">
        <f t="shared" si="2"/>
        <v>18</v>
      </c>
      <c r="G19" s="8" t="str">
        <f>IF(COUNTIF('0050_List'!A:A, A19), "✅", "")</f>
        <v>✅</v>
      </c>
    </row>
    <row r="20" ht="22.5" customHeight="1">
      <c r="A20" s="3">
        <v>2408.0</v>
      </c>
      <c r="B20" s="4" t="s">
        <v>25</v>
      </c>
      <c r="C20" s="5">
        <f>IFERROR(__xludf.DUMMYFUNCTION("GOOGLEFINANCE(""TPE:"" &amp; A20, ""marketcap"") / GOOGLEFINANCE(""TPE:"" &amp; A20, ""price"")"),3.098628E9)</f>
        <v>3098628000</v>
      </c>
      <c r="D20" s="6">
        <f>IFERROR(__xludf.DUMMYFUNCTION("IF(ISBLANK(A20),,GOOGLEFINANCE(""TPE:""&amp;A20, ""price""))"),156.0)</f>
        <v>156</v>
      </c>
      <c r="E20" s="7">
        <f t="shared" si="1"/>
        <v>4833.85968</v>
      </c>
      <c r="F20" s="6">
        <f t="shared" si="2"/>
        <v>22</v>
      </c>
      <c r="G20" s="8" t="str">
        <f>IF(COUNTIF('0050_List'!A:A, A20), "✅", "")</f>
        <v/>
      </c>
    </row>
    <row r="21" ht="22.5" customHeight="1">
      <c r="A21" s="3">
        <v>1303.0</v>
      </c>
      <c r="B21" s="4" t="s">
        <v>26</v>
      </c>
      <c r="C21" s="5">
        <f>IFERROR(__xludf.DUMMYFUNCTION("GOOGLEFINANCE(""TPE:"" &amp; A21, ""marketcap"") / GOOGLEFINANCE(""TPE:"" &amp; A21, ""price"")"),7.930821197084691E9)</f>
        <v>7930821197</v>
      </c>
      <c r="D21" s="6">
        <f>IFERROR(__xludf.DUMMYFUNCTION("IF(ISBLANK(A21),,GOOGLEFINANCE(""TPE:""&amp;A21, ""price""))"),61.4)</f>
        <v>61.4</v>
      </c>
      <c r="E21" s="7">
        <f t="shared" si="1"/>
        <v>4869.524215</v>
      </c>
      <c r="F21" s="6">
        <f t="shared" si="2"/>
        <v>21</v>
      </c>
      <c r="G21" s="8" t="str">
        <f>IF(COUNTIF('0050_List'!A:A, A21), "✅", "")</f>
        <v>✅</v>
      </c>
    </row>
    <row r="22" ht="22.5" customHeight="1">
      <c r="A22" s="3">
        <v>2885.0</v>
      </c>
      <c r="B22" s="4" t="s">
        <v>27</v>
      </c>
      <c r="C22" s="5">
        <f>IFERROR(__xludf.DUMMYFUNCTION("GOOGLEFINANCE(""TPE:"" &amp; A22, ""marketcap"") / GOOGLEFINANCE(""TPE:"" &amp; A22, ""price"")"),1.3331140543877007E10)</f>
        <v>13331140544</v>
      </c>
      <c r="D22" s="6">
        <f>IFERROR(__xludf.DUMMYFUNCTION("IF(ISBLANK(A22),,GOOGLEFINANCE(""TPE:""&amp;A22, ""price""))"),37.4)</f>
        <v>37.4</v>
      </c>
      <c r="E22" s="7">
        <f t="shared" si="1"/>
        <v>4985.846563</v>
      </c>
      <c r="F22" s="6">
        <f t="shared" si="2"/>
        <v>20</v>
      </c>
      <c r="G22" s="8" t="str">
        <f>IF(COUNTIF('0050_List'!A:A, A22), "✅", "")</f>
        <v>✅</v>
      </c>
    </row>
    <row r="23" ht="22.5" customHeight="1">
      <c r="A23" s="3">
        <v>2327.0</v>
      </c>
      <c r="B23" s="4" t="s">
        <v>28</v>
      </c>
      <c r="C23" s="5">
        <f>IFERROR(__xludf.DUMMYFUNCTION("GOOGLEFINANCE(""TPE:"" &amp; A23, ""marketcap"") / GOOGLEFINANCE(""TPE:"" &amp; A23, ""price"")"),2.072965E9)</f>
        <v>2072965000</v>
      </c>
      <c r="D23" s="6">
        <f>IFERROR(__xludf.DUMMYFUNCTION("IF(ISBLANK(A23),,GOOGLEFINANCE(""TPE:""&amp;A23, ""price""))"),245.5)</f>
        <v>245.5</v>
      </c>
      <c r="E23" s="7">
        <f t="shared" si="1"/>
        <v>5089.129075</v>
      </c>
      <c r="F23" s="6">
        <f t="shared" si="2"/>
        <v>19</v>
      </c>
      <c r="G23" s="8" t="str">
        <f>IF(COUNTIF('0050_List'!A:A, A23), "✅", "")</f>
        <v>✅</v>
      </c>
    </row>
    <row r="24" ht="22.5" customHeight="1">
      <c r="A24" s="3">
        <v>6505.0</v>
      </c>
      <c r="B24" s="4" t="s">
        <v>29</v>
      </c>
      <c r="C24" s="5">
        <f>IFERROR(__xludf.DUMMYFUNCTION("GOOGLEFINANCE(""TPE:"" &amp; A24, ""marketcap"") / GOOGLEFINANCE(""TPE:"" &amp; A24, ""price"")"),9.525958708405216E9)</f>
        <v>9525958708</v>
      </c>
      <c r="D24" s="6">
        <f>IFERROR(__xludf.DUMMYFUNCTION("IF(ISBLANK(A24),,GOOGLEFINANCE(""TPE:""&amp;A24, ""price""))"),49.85)</f>
        <v>49.85</v>
      </c>
      <c r="E24" s="7">
        <f t="shared" si="1"/>
        <v>4748.690416</v>
      </c>
      <c r="F24" s="6">
        <f t="shared" si="2"/>
        <v>23</v>
      </c>
      <c r="G24" s="8" t="str">
        <f>IF(COUNTIF('0050_List'!A:A, A24), "✅", "")</f>
        <v>✅</v>
      </c>
    </row>
    <row r="25" ht="22.5" customHeight="1">
      <c r="A25" s="3">
        <v>3231.0</v>
      </c>
      <c r="B25" s="4" t="s">
        <v>30</v>
      </c>
      <c r="C25" s="5">
        <f>IFERROR(__xludf.DUMMYFUNCTION("GOOGLEFINANCE(""TPE:"" &amp; A25, ""marketcap"") / GOOGLEFINANCE(""TPE:"" &amp; A25, ""price"")"),3.180412E9)</f>
        <v>3180412000</v>
      </c>
      <c r="D25" s="6">
        <f>IFERROR(__xludf.DUMMYFUNCTION("IF(ISBLANK(A25),,GOOGLEFINANCE(""TPE:""&amp;A25, ""price""))"),147.5)</f>
        <v>147.5</v>
      </c>
      <c r="E25" s="7">
        <f t="shared" si="1"/>
        <v>4691.1077</v>
      </c>
      <c r="F25" s="6">
        <f t="shared" si="2"/>
        <v>24</v>
      </c>
      <c r="G25" s="8" t="str">
        <f>IF(COUNTIF('0050_List'!A:A, A25), "✅", "")</f>
        <v>✅</v>
      </c>
    </row>
    <row r="26" ht="22.5" customHeight="1">
      <c r="A26" s="3">
        <v>2357.0</v>
      </c>
      <c r="B26" s="4" t="s">
        <v>31</v>
      </c>
      <c r="C26" s="5">
        <f>IFERROR(__xludf.DUMMYFUNCTION("GOOGLEFINANCE(""TPE:"" &amp; A26, ""marketcap"") / GOOGLEFINANCE(""TPE:"" &amp; A26, ""price"")"),7.427602E8)</f>
        <v>742760200</v>
      </c>
      <c r="D26" s="6">
        <f>IFERROR(__xludf.DUMMYFUNCTION("IF(ISBLANK(A26),,GOOGLEFINANCE(""TPE:""&amp;A26, ""price""))"),595.0)</f>
        <v>595</v>
      </c>
      <c r="E26" s="7">
        <f t="shared" si="1"/>
        <v>4419.42319</v>
      </c>
      <c r="F26" s="6">
        <f t="shared" si="2"/>
        <v>25</v>
      </c>
      <c r="G26" s="8" t="str">
        <f>IF(COUNTIF('0050_List'!A:A, A26), "✅", "")</f>
        <v>✅</v>
      </c>
    </row>
    <row r="27" ht="22.5" customHeight="1">
      <c r="A27" s="3">
        <v>3653.0</v>
      </c>
      <c r="B27" s="4" t="s">
        <v>32</v>
      </c>
      <c r="C27" s="5">
        <f>IFERROR(__xludf.DUMMYFUNCTION("GOOGLEFINANCE(""TPE:"" &amp; A27, ""marketcap"") / GOOGLEFINANCE(""TPE:"" &amp; A27, ""price"")"),1.42922E8)</f>
        <v>142922000</v>
      </c>
      <c r="D27" s="6">
        <f>IFERROR(__xludf.DUMMYFUNCTION("IF(ISBLANK(A27),,GOOGLEFINANCE(""TPE:""&amp;A27, ""price""))"),2920.0)</f>
        <v>2920</v>
      </c>
      <c r="E27" s="7">
        <f t="shared" si="1"/>
        <v>4173.3224</v>
      </c>
      <c r="F27" s="6">
        <f t="shared" si="2"/>
        <v>28</v>
      </c>
      <c r="G27" s="8" t="str">
        <f>IF(COUNTIF('0050_List'!A:A, A27), "✅", "")</f>
        <v/>
      </c>
    </row>
    <row r="28" ht="22.5" customHeight="1">
      <c r="A28" s="3">
        <v>1216.0</v>
      </c>
      <c r="B28" s="4" t="s">
        <v>33</v>
      </c>
      <c r="C28" s="5">
        <f>IFERROR(__xludf.DUMMYFUNCTION("GOOGLEFINANCE(""TPE:"" &amp; A28, ""marketcap"") / GOOGLEFINANCE(""TPE:"" &amp; A28, ""price"")"),5.682015E9)</f>
        <v>5682015000</v>
      </c>
      <c r="D28" s="6">
        <f>IFERROR(__xludf.DUMMYFUNCTION("IF(ISBLANK(A28),,GOOGLEFINANCE(""TPE:""&amp;A28, ""price""))"),75.0)</f>
        <v>75</v>
      </c>
      <c r="E28" s="7">
        <f t="shared" si="1"/>
        <v>4261.51125</v>
      </c>
      <c r="F28" s="6">
        <f t="shared" si="2"/>
        <v>26</v>
      </c>
      <c r="G28" s="8" t="str">
        <f>IF(COUNTIF('0050_List'!A:A, A28), "✅", "")</f>
        <v>✅</v>
      </c>
    </row>
    <row r="29" ht="22.5" customHeight="1">
      <c r="A29" s="3">
        <v>2880.0</v>
      </c>
      <c r="B29" s="4" t="s">
        <v>34</v>
      </c>
      <c r="C29" s="5">
        <f>IFERROR(__xludf.DUMMYFUNCTION("GOOGLEFINANCE(""TPE:"" &amp; A29, ""marketcap"") / GOOGLEFINANCE(""TPE:"" &amp; A29, ""price"")"),1.3916959652438625E10)</f>
        <v>13916959652</v>
      </c>
      <c r="D29" s="6">
        <f>IFERROR(__xludf.DUMMYFUNCTION("IF(ISBLANK(A29),,GOOGLEFINANCE(""TPE:""&amp;A29, ""price""))"),30.55)</f>
        <v>30.55</v>
      </c>
      <c r="E29" s="7">
        <f t="shared" si="1"/>
        <v>4251.631174</v>
      </c>
      <c r="F29" s="6">
        <f t="shared" si="2"/>
        <v>27</v>
      </c>
      <c r="G29" s="8" t="str">
        <f>IF(COUNTIF('0050_List'!A:A, A29), "✅", "")</f>
        <v>✅</v>
      </c>
    </row>
    <row r="30" ht="22.5" customHeight="1">
      <c r="A30" s="3">
        <v>2892.0</v>
      </c>
      <c r="B30" s="4" t="s">
        <v>35</v>
      </c>
      <c r="C30" s="5">
        <f>IFERROR(__xludf.DUMMYFUNCTION("GOOGLEFINANCE(""TPE:"" &amp; A30, ""marketcap"") / GOOGLEFINANCE(""TPE:"" &amp; A30, ""price"")"),1.4379460392486584E10)</f>
        <v>14379460392</v>
      </c>
      <c r="D30" s="6">
        <f>IFERROR(__xludf.DUMMYFUNCTION("IF(ISBLANK(A30),,GOOGLEFINANCE(""TPE:""&amp;A30, ""price""))"),27.95)</f>
        <v>27.95</v>
      </c>
      <c r="E30" s="7">
        <f t="shared" si="1"/>
        <v>4019.05918</v>
      </c>
      <c r="F30" s="6">
        <f t="shared" si="2"/>
        <v>29</v>
      </c>
      <c r="G30" s="8" t="str">
        <f>IF(COUNTIF('0050_List'!A:A, A30), "✅", "")</f>
        <v>✅</v>
      </c>
    </row>
    <row r="31" ht="22.5" customHeight="1">
      <c r="A31" s="3">
        <v>2890.0</v>
      </c>
      <c r="B31" s="4" t="s">
        <v>36</v>
      </c>
      <c r="C31" s="5">
        <f>IFERROR(__xludf.DUMMYFUNCTION("GOOGLEFINANCE(""TPE:"" &amp; A31, ""marketcap"") / GOOGLEFINANCE(""TPE:"" &amp; A31, ""price"")"),1.4492320402768671E10)</f>
        <v>14492320403</v>
      </c>
      <c r="D31" s="6">
        <f>IFERROR(__xludf.DUMMYFUNCTION("IF(ISBLANK(A31),,GOOGLEFINANCE(""TPE:""&amp;A31, ""price""))"),27.45)</f>
        <v>27.45</v>
      </c>
      <c r="E31" s="7">
        <f t="shared" si="1"/>
        <v>3978.141951</v>
      </c>
      <c r="F31" s="6">
        <f t="shared" si="2"/>
        <v>30</v>
      </c>
      <c r="G31" s="8" t="str">
        <f>IF(COUNTIF('0050_List'!A:A, A31), "✅", "")</f>
        <v>✅</v>
      </c>
    </row>
    <row r="32" ht="22.5" customHeight="1">
      <c r="A32" s="3">
        <v>3045.0</v>
      </c>
      <c r="B32" s="4" t="s">
        <v>37</v>
      </c>
      <c r="C32" s="5">
        <f>IFERROR(__xludf.DUMMYFUNCTION("GOOGLEFINANCE(""TPE:"" &amp; A32, ""marketcap"") / GOOGLEFINANCE(""TPE:"" &amp; A32, ""price"")"),3.723261E9)</f>
        <v>3723261000</v>
      </c>
      <c r="D32" s="6">
        <f>IFERROR(__xludf.DUMMYFUNCTION("IF(ISBLANK(A32),,GOOGLEFINANCE(""TPE:""&amp;A32, ""price""))"),104.5)</f>
        <v>104.5</v>
      </c>
      <c r="E32" s="7">
        <f t="shared" si="1"/>
        <v>3890.807745</v>
      </c>
      <c r="F32" s="6">
        <f t="shared" si="2"/>
        <v>31</v>
      </c>
      <c r="G32" s="8" t="str">
        <f>IF(COUNTIF('0050_List'!A:A, A32), "✅", "")</f>
        <v>✅</v>
      </c>
    </row>
    <row r="33" ht="22.5" customHeight="1">
      <c r="A33" s="3">
        <v>2603.0</v>
      </c>
      <c r="B33" s="4" t="s">
        <v>38</v>
      </c>
      <c r="C33" s="5">
        <f>IFERROR(__xludf.DUMMYFUNCTION("GOOGLEFINANCE(""TPE:"" &amp; A33, ""marketcap"") / GOOGLEFINANCE(""TPE:"" &amp; A33, ""price"")"),2.165043E9)</f>
        <v>2165043000</v>
      </c>
      <c r="D33" s="6">
        <f>IFERROR(__xludf.DUMMYFUNCTION("IF(ISBLANK(A33),,GOOGLEFINANCE(""TPE:""&amp;A33, ""price""))"),179.0)</f>
        <v>179</v>
      </c>
      <c r="E33" s="7">
        <f t="shared" si="1"/>
        <v>3875.42697</v>
      </c>
      <c r="F33" s="6">
        <f t="shared" si="2"/>
        <v>32</v>
      </c>
      <c r="G33" s="8" t="str">
        <f>IF(COUNTIF('0050_List'!A:A, A33), "✅", "")</f>
        <v>✅</v>
      </c>
    </row>
    <row r="34" ht="22.5" customHeight="1">
      <c r="A34" s="3">
        <v>5880.0</v>
      </c>
      <c r="B34" s="4" t="s">
        <v>39</v>
      </c>
      <c r="C34" s="5">
        <f>IFERROR(__xludf.DUMMYFUNCTION("GOOGLEFINANCE(""TPE:"" &amp; A34, ""marketcap"") / GOOGLEFINANCE(""TPE:"" &amp; A34, ""price"")"),1.5680930494338844E10)</f>
        <v>15680930494</v>
      </c>
      <c r="D34" s="6">
        <f>IFERROR(__xludf.DUMMYFUNCTION("IF(ISBLANK(A34),,GOOGLEFINANCE(""TPE:""&amp;A34, ""price""))"),24.2)</f>
        <v>24.2</v>
      </c>
      <c r="E34" s="7">
        <f t="shared" si="1"/>
        <v>3794.78518</v>
      </c>
      <c r="F34" s="6">
        <f t="shared" si="2"/>
        <v>33</v>
      </c>
      <c r="G34" s="8" t="str">
        <f>IF(COUNTIF('0050_List'!A:A, A34), "✅", "")</f>
        <v>✅</v>
      </c>
    </row>
    <row r="35" ht="22.5" customHeight="1">
      <c r="A35" s="3">
        <v>2301.0</v>
      </c>
      <c r="B35" s="4" t="s">
        <v>40</v>
      </c>
      <c r="C35" s="5">
        <f>IFERROR(__xludf.DUMMYFUNCTION("GOOGLEFINANCE(""TPE:"" &amp; A35, ""marketcap"") / GOOGLEFINANCE(""TPE:"" &amp; A35, ""price"")"),2.316775E9)</f>
        <v>2316775000</v>
      </c>
      <c r="D35" s="6">
        <f>IFERROR(__xludf.DUMMYFUNCTION("IF(ISBLANK(A35),,GOOGLEFINANCE(""TPE:""&amp;A35, ""price""))"),159.5)</f>
        <v>159.5</v>
      </c>
      <c r="E35" s="7">
        <f t="shared" si="1"/>
        <v>3695.256125</v>
      </c>
      <c r="F35" s="6">
        <f t="shared" si="2"/>
        <v>34</v>
      </c>
      <c r="G35" s="8" t="str">
        <f>IF(COUNTIF('0050_List'!A:A, A35), "✅", "")</f>
        <v>✅</v>
      </c>
    </row>
    <row r="36" ht="22.5" customHeight="1">
      <c r="A36" s="3">
        <v>3037.0</v>
      </c>
      <c r="B36" s="4" t="s">
        <v>41</v>
      </c>
      <c r="C36" s="5">
        <f>IFERROR(__xludf.DUMMYFUNCTION("GOOGLEFINANCE(""TPE:"" &amp; A36, ""marketcap"") / GOOGLEFINANCE(""TPE:"" &amp; A36, ""price"")"),1.5756E9)</f>
        <v>1575600000</v>
      </c>
      <c r="D36" s="6">
        <f>IFERROR(__xludf.DUMMYFUNCTION("IF(ISBLANK(A36),,GOOGLEFINANCE(""TPE:""&amp;A36, ""price""))"),227.5)</f>
        <v>227.5</v>
      </c>
      <c r="E36" s="7">
        <f t="shared" si="1"/>
        <v>3584.49</v>
      </c>
      <c r="F36" s="6">
        <f t="shared" si="2"/>
        <v>35</v>
      </c>
      <c r="G36" s="8" t="str">
        <f>IF(COUNTIF('0050_List'!A:A, A36), "✅", "")</f>
        <v/>
      </c>
    </row>
    <row r="37" ht="22.5" customHeight="1">
      <c r="A37" s="3">
        <v>2360.0</v>
      </c>
      <c r="B37" s="4" t="s">
        <v>42</v>
      </c>
      <c r="C37" s="5">
        <f>IFERROR(__xludf.DUMMYFUNCTION("GOOGLEFINANCE(""TPE:"" &amp; A37, ""marketcap"") / GOOGLEFINANCE(""TPE:"" &amp; A37, ""price"")"),4.252737E8)</f>
        <v>425273700</v>
      </c>
      <c r="D37" s="6">
        <f>IFERROR(__xludf.DUMMYFUNCTION("IF(ISBLANK(A37),,GOOGLEFINANCE(""TPE:""&amp;A37, ""price""))"),800.0)</f>
        <v>800</v>
      </c>
      <c r="E37" s="7">
        <f t="shared" si="1"/>
        <v>3402.1896</v>
      </c>
      <c r="F37" s="6">
        <f t="shared" si="2"/>
        <v>37</v>
      </c>
      <c r="G37" s="8" t="str">
        <f>IF(COUNTIF('0050_List'!A:A, A37), "✅", "")</f>
        <v/>
      </c>
    </row>
    <row r="38" ht="22.5" customHeight="1">
      <c r="A38" s="3">
        <v>2059.0</v>
      </c>
      <c r="B38" s="4" t="s">
        <v>43</v>
      </c>
      <c r="C38" s="5">
        <f>IFERROR(__xludf.DUMMYFUNCTION("GOOGLEFINANCE(""TPE:"" &amp; A38, ""marketcap"") / GOOGLEFINANCE(""TPE:"" &amp; A38, ""price"")"),9.529708E7)</f>
        <v>95297080</v>
      </c>
      <c r="D38" s="6">
        <f>IFERROR(__xludf.DUMMYFUNCTION("IF(ISBLANK(A38),,GOOGLEFINANCE(""TPE:""&amp;A38, ""price""))"),3615.0)</f>
        <v>3615</v>
      </c>
      <c r="E38" s="7">
        <f t="shared" si="1"/>
        <v>3444.989442</v>
      </c>
      <c r="F38" s="6">
        <f t="shared" si="2"/>
        <v>36</v>
      </c>
      <c r="G38" s="8" t="str">
        <f>IF(COUNTIF('0050_List'!A:A, A38), "✅", "")</f>
        <v>✅</v>
      </c>
    </row>
    <row r="39" ht="22.5" customHeight="1">
      <c r="A39" s="3">
        <v>2207.0</v>
      </c>
      <c r="B39" s="4" t="s">
        <v>44</v>
      </c>
      <c r="C39" s="5">
        <f>IFERROR(__xludf.DUMMYFUNCTION("GOOGLEFINANCE(""TPE:"" &amp; A39, ""marketcap"") / GOOGLEFINANCE(""TPE:"" &amp; A39, ""price"")"),5.571026E8)</f>
        <v>557102600</v>
      </c>
      <c r="D39" s="6">
        <f>IFERROR(__xludf.DUMMYFUNCTION("IF(ISBLANK(A39),,GOOGLEFINANCE(""TPE:""&amp;A39, ""price""))"),598.0)</f>
        <v>598</v>
      </c>
      <c r="E39" s="7">
        <f t="shared" si="1"/>
        <v>3331.473548</v>
      </c>
      <c r="F39" s="6">
        <f t="shared" si="2"/>
        <v>38</v>
      </c>
      <c r="G39" s="8" t="str">
        <f>IF(COUNTIF('0050_List'!A:A, A39), "✅", "")</f>
        <v>✅</v>
      </c>
    </row>
    <row r="40" ht="22.5" customHeight="1">
      <c r="A40" s="3">
        <v>4904.0</v>
      </c>
      <c r="B40" s="4" t="s">
        <v>45</v>
      </c>
      <c r="C40" s="5">
        <f>IFERROR(__xludf.DUMMYFUNCTION("GOOGLEFINANCE(""TPE:"" &amp; A40, ""marketcap"") / GOOGLEFINANCE(""TPE:"" &amp; A40, ""price"")"),3.6057059360975614E9)</f>
        <v>3605705936</v>
      </c>
      <c r="D40" s="6">
        <f>IFERROR(__xludf.DUMMYFUNCTION("IF(ISBLANK(A40),,GOOGLEFINANCE(""TPE:""&amp;A40, ""price""))"),86.1)</f>
        <v>86.1</v>
      </c>
      <c r="E40" s="7">
        <f t="shared" si="1"/>
        <v>3104.512811</v>
      </c>
      <c r="F40" s="6">
        <f t="shared" si="2"/>
        <v>39</v>
      </c>
      <c r="G40" s="8" t="str">
        <f>IF(COUNTIF('0050_List'!A:A, A40), "✅", "")</f>
        <v>✅</v>
      </c>
    </row>
    <row r="41" ht="22.5" customHeight="1">
      <c r="A41" s="3">
        <v>2344.0</v>
      </c>
      <c r="B41" s="4" t="s">
        <v>46</v>
      </c>
      <c r="C41" s="5">
        <f>IFERROR(__xludf.DUMMYFUNCTION("GOOGLEFINANCE(""TPE:"" &amp; A41, ""marketcap"") / GOOGLEFINANCE(""TPE:"" &amp; A41, ""price"")"),4.5E9)</f>
        <v>4500000000</v>
      </c>
      <c r="D41" s="6">
        <f>IFERROR(__xludf.DUMMYFUNCTION("IF(ISBLANK(A41),,GOOGLEFINANCE(""TPE:""&amp;A41, ""price""))"),67.5)</f>
        <v>67.5</v>
      </c>
      <c r="E41" s="7">
        <f t="shared" si="1"/>
        <v>3037.5</v>
      </c>
      <c r="F41" s="6">
        <f t="shared" si="2"/>
        <v>40</v>
      </c>
      <c r="G41" s="8" t="str">
        <f>IF(COUNTIF('0050_List'!A:A, A41), "✅", "")</f>
        <v/>
      </c>
    </row>
    <row r="42" ht="22.5" customHeight="1">
      <c r="A42" s="3">
        <v>3665.0</v>
      </c>
      <c r="B42" s="4" t="s">
        <v>47</v>
      </c>
      <c r="C42" s="5">
        <f>IFERROR(__xludf.DUMMYFUNCTION("GOOGLEFINANCE(""TPE:"" &amp; A42, ""marketcap"") / GOOGLEFINANCE(""TPE:"" &amp; A42, ""price"")"),1.949599E8)</f>
        <v>194959900</v>
      </c>
      <c r="D42" s="6">
        <f>IFERROR(__xludf.DUMMYFUNCTION("IF(ISBLANK(A42),,GOOGLEFINANCE(""TPE:""&amp;A42, ""price""))"),1525.0)</f>
        <v>1525</v>
      </c>
      <c r="E42" s="7">
        <f t="shared" si="1"/>
        <v>2973.138475</v>
      </c>
      <c r="F42" s="6">
        <f t="shared" si="2"/>
        <v>42</v>
      </c>
      <c r="G42" s="8" t="str">
        <f>IF(COUNTIF('0050_List'!A:A, A42), "✅", "")</f>
        <v/>
      </c>
    </row>
    <row r="43" ht="22.5" customHeight="1">
      <c r="A43" s="3">
        <v>2002.0</v>
      </c>
      <c r="B43" s="4" t="s">
        <v>48</v>
      </c>
      <c r="C43" s="5">
        <f>IFERROR(__xludf.DUMMYFUNCTION("GOOGLEFINANCE(""TPE:"" &amp; A43, ""marketcap"") / GOOGLEFINANCE(""TPE:"" &amp; A43, ""price"")"),1.5814579340655737E10)</f>
        <v>15814579341</v>
      </c>
      <c r="D43" s="6">
        <f>IFERROR(__xludf.DUMMYFUNCTION("IF(ISBLANK(A43),,GOOGLEFINANCE(""TPE:""&amp;A43, ""price""))"),18.3)</f>
        <v>18.3</v>
      </c>
      <c r="E43" s="7">
        <f t="shared" si="1"/>
        <v>2894.068019</v>
      </c>
      <c r="F43" s="6">
        <f t="shared" si="2"/>
        <v>45</v>
      </c>
      <c r="G43" s="8" t="str">
        <f>IF(COUNTIF('0050_List'!A:A, A43), "✅", "")</f>
        <v>✅</v>
      </c>
    </row>
    <row r="44" ht="22.5" customHeight="1">
      <c r="A44" s="3">
        <v>2368.0</v>
      </c>
      <c r="B44" s="4" t="s">
        <v>49</v>
      </c>
      <c r="C44" s="5">
        <f>IFERROR(__xludf.DUMMYFUNCTION("GOOGLEFINANCE(""TPE:"" &amp; A44, ""marketcap"") / GOOGLEFINANCE(""TPE:"" &amp; A44, ""price"")"),4.918394E8)</f>
        <v>491839400</v>
      </c>
      <c r="D44" s="6">
        <f>IFERROR(__xludf.DUMMYFUNCTION("IF(ISBLANK(A44),,GOOGLEFINANCE(""TPE:""&amp;A44, ""price""))"),616.0)</f>
        <v>616</v>
      </c>
      <c r="E44" s="7">
        <f t="shared" si="1"/>
        <v>3029.730704</v>
      </c>
      <c r="F44" s="6">
        <f t="shared" si="2"/>
        <v>41</v>
      </c>
      <c r="G44" s="8" t="str">
        <f>IF(COUNTIF('0050_List'!A:A, A44), "✅", "")</f>
        <v/>
      </c>
    </row>
    <row r="45" ht="22.5" customHeight="1">
      <c r="A45" s="3">
        <v>3443.0</v>
      </c>
      <c r="B45" s="4" t="s">
        <v>50</v>
      </c>
      <c r="C45" s="5">
        <f>IFERROR(__xludf.DUMMYFUNCTION("GOOGLEFINANCE(""TPE:"" &amp; A45, ""marketcap"") / GOOGLEFINANCE(""TPE:"" &amp; A45, ""price"")"),1.340119E8)</f>
        <v>134011900</v>
      </c>
      <c r="D45" s="6">
        <f>IFERROR(__xludf.DUMMYFUNCTION("IF(ISBLANK(A45),,GOOGLEFINANCE(""TPE:""&amp;A45, ""price""))"),2160.0)</f>
        <v>2160</v>
      </c>
      <c r="E45" s="7">
        <f t="shared" si="1"/>
        <v>2894.65704</v>
      </c>
      <c r="F45" s="6">
        <f t="shared" si="2"/>
        <v>44</v>
      </c>
      <c r="G45" s="8" t="str">
        <f>IF(COUNTIF('0050_List'!A:A, A45), "✅", "")</f>
        <v/>
      </c>
    </row>
    <row r="46" ht="22.5" customHeight="1">
      <c r="A46" s="3">
        <v>2883.0</v>
      </c>
      <c r="B46" s="4" t="s">
        <v>51</v>
      </c>
      <c r="C46" s="5">
        <f>IFERROR(__xludf.DUMMYFUNCTION("GOOGLEFINANCE(""TPE:"" &amp; A46, ""marketcap"") / GOOGLEFINANCE(""TPE:"" &amp; A46, ""price"")"),1.7735819587439026E10)</f>
        <v>17735819587</v>
      </c>
      <c r="D46" s="6">
        <f>IFERROR(__xludf.DUMMYFUNCTION("IF(ISBLANK(A46),,GOOGLEFINANCE(""TPE:""&amp;A46, ""price""))"),16.4)</f>
        <v>16.4</v>
      </c>
      <c r="E46" s="7">
        <f t="shared" si="1"/>
        <v>2908.674412</v>
      </c>
      <c r="F46" s="6">
        <f t="shared" si="2"/>
        <v>43</v>
      </c>
      <c r="G46" s="8" t="str">
        <f>IF(COUNTIF('0050_List'!A:A, A46), "✅", "")</f>
        <v>✅</v>
      </c>
    </row>
    <row r="47" ht="22.5" customHeight="1">
      <c r="A47" s="3">
        <v>3008.0</v>
      </c>
      <c r="B47" s="4" t="s">
        <v>52</v>
      </c>
      <c r="C47" s="5">
        <f>IFERROR(__xludf.DUMMYFUNCTION("GOOGLEFINANCE(""TPE:"" &amp; A47, ""marketcap"") / GOOGLEFINANCE(""TPE:"" &amp; A47, ""price"")"),1.334681E8)</f>
        <v>133468100</v>
      </c>
      <c r="D47" s="6">
        <f>IFERROR(__xludf.DUMMYFUNCTION("IF(ISBLANK(A47),,GOOGLEFINANCE(""TPE:""&amp;A47, ""price""))"),2085.0)</f>
        <v>2085</v>
      </c>
      <c r="E47" s="7">
        <f t="shared" si="1"/>
        <v>2782.809885</v>
      </c>
      <c r="F47" s="6">
        <f t="shared" si="2"/>
        <v>47</v>
      </c>
      <c r="G47" s="8" t="str">
        <f>IF(COUNTIF('0050_List'!A:A, A47), "✅", "")</f>
        <v>✅</v>
      </c>
    </row>
    <row r="48" ht="22.5" customHeight="1">
      <c r="A48" s="3">
        <v>2449.0</v>
      </c>
      <c r="B48" s="4" t="s">
        <v>53</v>
      </c>
      <c r="C48" s="5">
        <f>IFERROR(__xludf.DUMMYFUNCTION("GOOGLEFINANCE(""TPE:"" &amp; A48, ""marketcap"") / GOOGLEFINANCE(""TPE:"" &amp; A48, ""price"")"),1.222745E9)</f>
        <v>1222745000</v>
      </c>
      <c r="D48" s="6">
        <f>IFERROR(__xludf.DUMMYFUNCTION("IF(ISBLANK(A48),,GOOGLEFINANCE(""TPE:""&amp;A48, ""price""))"),229.0)</f>
        <v>229</v>
      </c>
      <c r="E48" s="7">
        <f t="shared" si="1"/>
        <v>2800.08605</v>
      </c>
      <c r="F48" s="6">
        <f t="shared" si="2"/>
        <v>46</v>
      </c>
      <c r="G48" s="8" t="str">
        <f>IF(COUNTIF('0050_List'!A:A, A48), "✅", "")</f>
        <v/>
      </c>
    </row>
    <row r="49" ht="22.5" customHeight="1">
      <c r="A49" s="3">
        <v>2379.0</v>
      </c>
      <c r="B49" s="4" t="s">
        <v>54</v>
      </c>
      <c r="C49" s="5">
        <f>IFERROR(__xludf.DUMMYFUNCTION("GOOGLEFINANCE(""TPE:"" &amp; A49, ""marketcap"") / GOOGLEFINANCE(""TPE:"" &amp; A49, ""price"")"),5.128636E8)</f>
        <v>512863600</v>
      </c>
      <c r="D49" s="6">
        <f>IFERROR(__xludf.DUMMYFUNCTION("IF(ISBLANK(A49),,GOOGLEFINANCE(""TPE:""&amp;A49, ""price""))"),539.0)</f>
        <v>539</v>
      </c>
      <c r="E49" s="7">
        <f t="shared" si="1"/>
        <v>2764.334804</v>
      </c>
      <c r="F49" s="6">
        <f t="shared" si="2"/>
        <v>48</v>
      </c>
      <c r="G49" s="8" t="str">
        <f>IF(COUNTIF('0050_List'!A:A, A49), "✅", "")</f>
        <v>✅</v>
      </c>
    </row>
    <row r="50" ht="22.5" customHeight="1">
      <c r="A50" s="3">
        <v>1301.0</v>
      </c>
      <c r="B50" s="4" t="s">
        <v>55</v>
      </c>
      <c r="C50" s="5">
        <f>IFERROR(__xludf.DUMMYFUNCTION("GOOGLEFINANCE(""TPE:"" &amp; A50, ""marketcap"") / GOOGLEFINANCE(""TPE:"" &amp; A50, ""price"")"),6.365738877964825E9)</f>
        <v>6365738878</v>
      </c>
      <c r="D50" s="6">
        <f>IFERROR(__xludf.DUMMYFUNCTION("IF(ISBLANK(A50),,GOOGLEFINANCE(""TPE:""&amp;A50, ""price""))"),39.8)</f>
        <v>39.8</v>
      </c>
      <c r="E50" s="7">
        <f t="shared" si="1"/>
        <v>2533.564073</v>
      </c>
      <c r="F50" s="6">
        <f t="shared" si="2"/>
        <v>51</v>
      </c>
      <c r="G50" s="8" t="str">
        <f>IF(COUNTIF('0050_List'!A:A, A50), "✅", "")</f>
        <v>✅</v>
      </c>
    </row>
    <row r="51" ht="22.5" customHeight="1">
      <c r="A51" s="3">
        <v>6919.0</v>
      </c>
      <c r="B51" s="4" t="s">
        <v>56</v>
      </c>
      <c r="C51" s="5">
        <f>IFERROR(__xludf.DUMMYFUNCTION("GOOGLEFINANCE(""TPE:"" &amp; A51, ""marketcap"") / GOOGLEFINANCE(""TPE:"" &amp; A51, ""price"")"),1.550897E9)</f>
        <v>1550897000</v>
      </c>
      <c r="D51" s="6">
        <f>IFERROR(__xludf.DUMMYFUNCTION("IF(ISBLANK(A51),,GOOGLEFINANCE(""TPE:""&amp;A51, ""price""))"),167.0)</f>
        <v>167</v>
      </c>
      <c r="E51" s="7">
        <f t="shared" si="1"/>
        <v>2589.99799</v>
      </c>
      <c r="F51" s="6">
        <f t="shared" si="2"/>
        <v>50</v>
      </c>
      <c r="G51" s="8" t="str">
        <f>IF(COUNTIF('0050_List'!A:A, A51), "✅", "")</f>
        <v>✅</v>
      </c>
    </row>
    <row r="52" ht="22.5" customHeight="1">
      <c r="A52" s="3">
        <v>3661.0</v>
      </c>
      <c r="B52" s="4" t="s">
        <v>57</v>
      </c>
      <c r="C52" s="5">
        <f>IFERROR(__xludf.DUMMYFUNCTION("GOOGLEFINANCE(""TPE:"" &amp; A52, ""marketcap"") / GOOGLEFINANCE(""TPE:"" &amp; A52, ""price"")"),8.103692E7)</f>
        <v>81036920</v>
      </c>
      <c r="D52" s="6">
        <f>IFERROR(__xludf.DUMMYFUNCTION("IF(ISBLANK(A52),,GOOGLEFINANCE(""TPE:""&amp;A52, ""price""))"),3370.0)</f>
        <v>3370</v>
      </c>
      <c r="E52" s="7">
        <f t="shared" si="1"/>
        <v>2730.944204</v>
      </c>
      <c r="F52" s="6">
        <f t="shared" si="2"/>
        <v>49</v>
      </c>
      <c r="G52" s="8" t="str">
        <f>IF(COUNTIF('0050_List'!A:A, A52), "✅", "")</f>
        <v>✅</v>
      </c>
    </row>
    <row r="53" ht="22.5" customHeight="1">
      <c r="A53" s="3">
        <v>2395.0</v>
      </c>
      <c r="B53" s="4" t="s">
        <v>58</v>
      </c>
      <c r="C53" s="5">
        <f>IFERROR(__xludf.DUMMYFUNCTION("GOOGLEFINANCE(""TPE:"" &amp; A53, ""marketcap"") / GOOGLEFINANCE(""TPE:"" &amp; A53, ""price"")"),8.651898E8)</f>
        <v>865189800</v>
      </c>
      <c r="D53" s="6">
        <f>IFERROR(__xludf.DUMMYFUNCTION("IF(ISBLANK(A53),,GOOGLEFINANCE(""TPE:""&amp;A53, ""price""))"),282.5)</f>
        <v>282.5</v>
      </c>
      <c r="E53" s="7">
        <f t="shared" si="1"/>
        <v>2444.161185</v>
      </c>
      <c r="F53" s="6">
        <f t="shared" si="2"/>
        <v>53</v>
      </c>
      <c r="G53" s="8" t="str">
        <f>IF(COUNTIF('0050_List'!A:A, A53), "✅", "")</f>
        <v>✅</v>
      </c>
    </row>
    <row r="54" ht="22.5" customHeight="1">
      <c r="A54" s="3">
        <v>2912.0</v>
      </c>
      <c r="B54" s="4" t="s">
        <v>59</v>
      </c>
      <c r="C54" s="5">
        <f>IFERROR(__xludf.DUMMYFUNCTION("GOOGLEFINANCE(""TPE:"" &amp; A54, ""marketcap"") / GOOGLEFINANCE(""TPE:"" &amp; A54, ""price"")"),1.039622E9)</f>
        <v>1039622000</v>
      </c>
      <c r="D54" s="6">
        <f>IFERROR(__xludf.DUMMYFUNCTION("IF(ISBLANK(A54),,GOOGLEFINANCE(""TPE:""&amp;A54, ""price""))"),228.5)</f>
        <v>228.5</v>
      </c>
      <c r="E54" s="7">
        <f t="shared" si="1"/>
        <v>2375.53627</v>
      </c>
      <c r="F54" s="6">
        <f t="shared" si="2"/>
        <v>55</v>
      </c>
      <c r="G54" s="8" t="str">
        <f>IF(COUNTIF('0050_List'!A:A, A54), "✅", "")</f>
        <v>✅</v>
      </c>
    </row>
    <row r="55" ht="22.5" customHeight="1">
      <c r="A55" s="3">
        <v>2801.0</v>
      </c>
      <c r="B55" s="4" t="s">
        <v>60</v>
      </c>
      <c r="C55" s="5">
        <f>IFERROR(__xludf.DUMMYFUNCTION("GOOGLEFINANCE(""TPE:"" &amp; A55, ""marketcap"") / GOOGLEFINANCE(""TPE:"" &amp; A55, ""price"")"),1.1766040220540539E10)</f>
        <v>11766040221</v>
      </c>
      <c r="D55" s="6">
        <f>IFERROR(__xludf.DUMMYFUNCTION("IF(ISBLANK(A55),,GOOGLEFINANCE(""TPE:""&amp;A55, ""price""))"),20.35)</f>
        <v>20.35</v>
      </c>
      <c r="E55" s="7">
        <f t="shared" si="1"/>
        <v>2394.389185</v>
      </c>
      <c r="F55" s="6">
        <f t="shared" si="2"/>
        <v>54</v>
      </c>
      <c r="G55" s="8" t="str">
        <f>IF(COUNTIF('0050_List'!A:A, A55), "✅", "")</f>
        <v/>
      </c>
    </row>
    <row r="56" ht="22.5" customHeight="1">
      <c r="A56" s="3">
        <v>3034.0</v>
      </c>
      <c r="B56" s="4" t="s">
        <v>61</v>
      </c>
      <c r="C56" s="5">
        <f>IFERROR(__xludf.DUMMYFUNCTION("GOOGLEFINANCE(""TPE:"" &amp; A56, ""marketcap"") / GOOGLEFINANCE(""TPE:"" &amp; A56, ""price"")"),6.085114E8)</f>
        <v>608511400</v>
      </c>
      <c r="D56" s="6">
        <f>IFERROR(__xludf.DUMMYFUNCTION("IF(ISBLANK(A56),,GOOGLEFINANCE(""TPE:""&amp;A56, ""price""))"),382.5)</f>
        <v>382.5</v>
      </c>
      <c r="E56" s="7">
        <f t="shared" si="1"/>
        <v>2327.556105</v>
      </c>
      <c r="F56" s="6">
        <f t="shared" si="2"/>
        <v>56</v>
      </c>
      <c r="G56" s="8" t="str">
        <f>IF(COUNTIF('0050_List'!A:A, A56), "✅", "")</f>
        <v>✅</v>
      </c>
    </row>
    <row r="57" ht="22.5" customHeight="1">
      <c r="A57" s="3">
        <v>1519.0</v>
      </c>
      <c r="B57" s="4" t="s">
        <v>62</v>
      </c>
      <c r="C57" s="5">
        <f>IFERROR(__xludf.DUMMYFUNCTION("GOOGLEFINANCE(""TPE:"" &amp; A57, ""marketcap"") / GOOGLEFINANCE(""TPE:"" &amp; A57, ""price"")"),3.158808E8)</f>
        <v>315880800</v>
      </c>
      <c r="D57" s="6">
        <f>IFERROR(__xludf.DUMMYFUNCTION("IF(ISBLANK(A57),,GOOGLEFINANCE(""TPE:""&amp;A57, ""price""))"),779.0)</f>
        <v>779</v>
      </c>
      <c r="E57" s="7">
        <f t="shared" si="1"/>
        <v>2460.711432</v>
      </c>
      <c r="F57" s="6">
        <f t="shared" si="2"/>
        <v>52</v>
      </c>
      <c r="G57" s="8" t="str">
        <f>IF(COUNTIF('0050_List'!A:A, A57), "✅", "")</f>
        <v/>
      </c>
    </row>
    <row r="58" ht="22.5" customHeight="1">
      <c r="A58" s="3">
        <v>2615.0</v>
      </c>
      <c r="B58" s="4" t="s">
        <v>63</v>
      </c>
      <c r="C58" s="5">
        <f>IFERROR(__xludf.DUMMYFUNCTION("GOOGLEFINANCE(""TPE:"" &amp; A58, ""marketcap"") / GOOGLEFINANCE(""TPE:"" &amp; A58, ""price"")"),2.806144945521629E9)</f>
        <v>2806144946</v>
      </c>
      <c r="D58" s="6">
        <f>IFERROR(__xludf.DUMMYFUNCTION("IF(ISBLANK(A58),,GOOGLEFINANCE(""TPE:""&amp;A58, ""price""))"),78.6)</f>
        <v>78.6</v>
      </c>
      <c r="E58" s="7">
        <f t="shared" si="1"/>
        <v>2205.629927</v>
      </c>
      <c r="F58" s="6">
        <f t="shared" si="2"/>
        <v>57</v>
      </c>
      <c r="G58" s="8" t="str">
        <f>IF(COUNTIF('0050_List'!A:A, A58), "✅", "")</f>
        <v>✅</v>
      </c>
    </row>
    <row r="59" ht="22.5" customHeight="1">
      <c r="A59" s="3">
        <v>1504.0</v>
      </c>
      <c r="B59" s="4" t="s">
        <v>64</v>
      </c>
      <c r="C59" s="5">
        <f>IFERROR(__xludf.DUMMYFUNCTION("GOOGLEFINANCE(""TPE:"" &amp; A59, ""marketcap"") / GOOGLEFINANCE(""TPE:"" &amp; A59, ""price"")"),2.376440084522145E9)</f>
        <v>2376440085</v>
      </c>
      <c r="D59" s="6">
        <f>IFERROR(__xludf.DUMMYFUNCTION("IF(ISBLANK(A59),,GOOGLEFINANCE(""TPE:""&amp;A59, ""price""))"),85.8)</f>
        <v>85.8</v>
      </c>
      <c r="E59" s="7">
        <f t="shared" si="1"/>
        <v>2038.985593</v>
      </c>
      <c r="F59" s="6">
        <f t="shared" si="2"/>
        <v>58</v>
      </c>
      <c r="G59" s="8" t="str">
        <f>IF(COUNTIF('0050_List'!A:A, A59), "✅", "")</f>
        <v/>
      </c>
    </row>
    <row r="60" ht="22.5" customHeight="1">
      <c r="A60" s="3">
        <v>1326.0</v>
      </c>
      <c r="B60" s="4" t="s">
        <v>65</v>
      </c>
      <c r="C60" s="5">
        <f>IFERROR(__xludf.DUMMYFUNCTION("GOOGLEFINANCE(""TPE:"" &amp; A60, ""marketcap"") / GOOGLEFINANCE(""TPE:"" &amp; A60, ""price"")"),5.861186138850931E9)</f>
        <v>5861186139</v>
      </c>
      <c r="D60" s="6">
        <f>IFERROR(__xludf.DUMMYFUNCTION("IF(ISBLANK(A60),,GOOGLEFINANCE(""TPE:""&amp;A60, ""price""))"),32.2)</f>
        <v>32.2</v>
      </c>
      <c r="E60" s="7">
        <f t="shared" si="1"/>
        <v>1887.301937</v>
      </c>
      <c r="F60" s="6">
        <f t="shared" si="2"/>
        <v>63</v>
      </c>
      <c r="G60" s="8" t="str">
        <f>IF(COUNTIF('0050_List'!A:A, A60), "✅", "")</f>
        <v/>
      </c>
    </row>
    <row r="61" ht="22.5" customHeight="1">
      <c r="A61" s="3">
        <v>6446.0</v>
      </c>
      <c r="B61" s="4" t="s">
        <v>66</v>
      </c>
      <c r="C61" s="5">
        <f>IFERROR(__xludf.DUMMYFUNCTION("GOOGLEFINANCE(""TPE:"" &amp; A61, ""marketcap"") / GOOGLEFINANCE(""TPE:"" &amp; A61, ""price"")"),3.793547E8)</f>
        <v>379354700</v>
      </c>
      <c r="D61" s="6">
        <f>IFERROR(__xludf.DUMMYFUNCTION("IF(ISBLANK(A61),,GOOGLEFINANCE(""TPE:""&amp;A61, ""price""))"),516.0)</f>
        <v>516</v>
      </c>
      <c r="E61" s="7">
        <f t="shared" si="1"/>
        <v>1957.470252</v>
      </c>
      <c r="F61" s="6">
        <f t="shared" si="2"/>
        <v>59</v>
      </c>
      <c r="G61" s="8" t="str">
        <f>IF(COUNTIF('0050_List'!A:A, A61), "✅", "")</f>
        <v>✅</v>
      </c>
    </row>
    <row r="62" ht="22.5" customHeight="1">
      <c r="A62" s="3">
        <v>5876.0</v>
      </c>
      <c r="B62" s="4" t="s">
        <v>67</v>
      </c>
      <c r="C62" s="5">
        <f>IFERROR(__xludf.DUMMYFUNCTION("GOOGLEFINANCE(""TPE:"" &amp; A62, ""marketcap"") / GOOGLEFINANCE(""TPE:"" &amp; A62, ""price"")"),4.861602093425693E9)</f>
        <v>4861602093</v>
      </c>
      <c r="D62" s="6">
        <f>IFERROR(__xludf.DUMMYFUNCTION("IF(ISBLANK(A62),,GOOGLEFINANCE(""TPE:""&amp;A62, ""price""))"),39.7)</f>
        <v>39.7</v>
      </c>
      <c r="E62" s="7">
        <f t="shared" si="1"/>
        <v>1930.056031</v>
      </c>
      <c r="F62" s="6">
        <f t="shared" si="2"/>
        <v>60</v>
      </c>
      <c r="G62" s="8" t="str">
        <f>IF(COUNTIF('0050_List'!A:A, A62), "✅", "")</f>
        <v>✅</v>
      </c>
    </row>
    <row r="63" ht="22.5" customHeight="1">
      <c r="A63" s="3">
        <v>4938.0</v>
      </c>
      <c r="B63" s="4" t="s">
        <v>68</v>
      </c>
      <c r="C63" s="5">
        <f>IFERROR(__xludf.DUMMYFUNCTION("GOOGLEFINANCE(""TPE:"" &amp; A63, ""marketcap"") / GOOGLEFINANCE(""TPE:"" &amp; A63, ""price"")"),2.682199E9)</f>
        <v>2682199000</v>
      </c>
      <c r="D63" s="6">
        <f>IFERROR(__xludf.DUMMYFUNCTION("IF(ISBLANK(A63),,GOOGLEFINANCE(""TPE:""&amp;A63, ""price""))"),70.5)</f>
        <v>70.5</v>
      </c>
      <c r="E63" s="7">
        <f t="shared" si="1"/>
        <v>1890.950295</v>
      </c>
      <c r="F63" s="6">
        <f t="shared" si="2"/>
        <v>61</v>
      </c>
      <c r="G63" s="8" t="str">
        <f>IF(COUNTIF('0050_List'!A:A, A63), "✅", "")</f>
        <v>✅</v>
      </c>
    </row>
    <row r="64" ht="22.5" customHeight="1">
      <c r="A64" s="3">
        <v>5871.0</v>
      </c>
      <c r="B64" s="4" t="s">
        <v>69</v>
      </c>
      <c r="C64" s="5">
        <f>IFERROR(__xludf.DUMMYFUNCTION("GOOGLEFINANCE(""TPE:"" &amp; A64, ""marketcap"") / GOOGLEFINANCE(""TPE:"" &amp; A64, ""price"")"),1.86142E9)</f>
        <v>1861420000</v>
      </c>
      <c r="D64" s="6">
        <f>IFERROR(__xludf.DUMMYFUNCTION("IF(ISBLANK(A64),,GOOGLEFINANCE(""TPE:""&amp;A64, ""price""))"),101.5)</f>
        <v>101.5</v>
      </c>
      <c r="E64" s="7">
        <f t="shared" si="1"/>
        <v>1889.3413</v>
      </c>
      <c r="F64" s="6">
        <f t="shared" si="2"/>
        <v>62</v>
      </c>
      <c r="G64" s="8" t="str">
        <f>IF(COUNTIF('0050_List'!A:A, A64), "✅", "")</f>
        <v>✅</v>
      </c>
    </row>
    <row r="65" ht="22.5" customHeight="1">
      <c r="A65" s="3">
        <v>3036.0</v>
      </c>
      <c r="B65" s="4" t="s">
        <v>70</v>
      </c>
      <c r="C65" s="5">
        <f>IFERROR(__xludf.DUMMYFUNCTION("GOOGLEFINANCE(""TPE:"" &amp; A65, ""marketcap"") / GOOGLEFINANCE(""TPE:"" &amp; A65, ""price"")"),1.214462E9)</f>
        <v>1214462000</v>
      </c>
      <c r="D65" s="6">
        <f>IFERROR(__xludf.DUMMYFUNCTION("IF(ISBLANK(A65),,GOOGLEFINANCE(""TPE:""&amp;A65, ""price""))"),150.5)</f>
        <v>150.5</v>
      </c>
      <c r="E65" s="7">
        <f t="shared" si="1"/>
        <v>1827.76531</v>
      </c>
      <c r="F65" s="6">
        <f t="shared" si="2"/>
        <v>65</v>
      </c>
      <c r="G65" s="8" t="str">
        <f>IF(COUNTIF('0050_List'!A:A, A65), "✅", "")</f>
        <v/>
      </c>
    </row>
    <row r="66" ht="22.5" customHeight="1">
      <c r="A66" s="3">
        <v>2618.0</v>
      </c>
      <c r="B66" s="4" t="s">
        <v>71</v>
      </c>
      <c r="C66" s="5">
        <f>IFERROR(__xludf.DUMMYFUNCTION("GOOGLEFINANCE(""TPE:"" &amp; A66, ""marketcap"") / GOOGLEFINANCE(""TPE:"" &amp; A66, ""price"")"),5.400442763529411E9)</f>
        <v>5400442764</v>
      </c>
      <c r="D66" s="6">
        <f>IFERROR(__xludf.DUMMYFUNCTION("IF(ISBLANK(A66),,GOOGLEFINANCE(""TPE:""&amp;A66, ""price""))"),34.85)</f>
        <v>34.85</v>
      </c>
      <c r="E66" s="7">
        <f t="shared" si="1"/>
        <v>1882.054303</v>
      </c>
      <c r="F66" s="6">
        <f t="shared" si="2"/>
        <v>64</v>
      </c>
      <c r="G66" s="8" t="str">
        <f>IF(COUNTIF('0050_List'!A:A, A66), "✅", "")</f>
        <v/>
      </c>
    </row>
    <row r="67" ht="22.5" customHeight="1">
      <c r="A67" s="3">
        <v>1590.0</v>
      </c>
      <c r="B67" s="4" t="s">
        <v>72</v>
      </c>
      <c r="C67" s="5">
        <f>IFERROR(__xludf.DUMMYFUNCTION("GOOGLEFINANCE(""TPE:"" &amp; A67, ""marketcap"") / GOOGLEFINANCE(""TPE:"" &amp; A67, ""price"")"),2.0E8)</f>
        <v>200000000</v>
      </c>
      <c r="D67" s="6">
        <f>IFERROR(__xludf.DUMMYFUNCTION("IF(ISBLANK(A67),,GOOGLEFINANCE(""TPE:""&amp;A67, ""price""))"),904.0)</f>
        <v>904</v>
      </c>
      <c r="E67" s="7">
        <f t="shared" si="1"/>
        <v>1808</v>
      </c>
      <c r="F67" s="6">
        <f t="shared" si="2"/>
        <v>67</v>
      </c>
      <c r="G67" s="8" t="str">
        <f>IF(COUNTIF('0050_List'!A:A, A67), "✅", "")</f>
        <v/>
      </c>
    </row>
    <row r="68" ht="22.5" customHeight="1">
      <c r="A68" s="3">
        <v>1101.0</v>
      </c>
      <c r="B68" s="4" t="s">
        <v>73</v>
      </c>
      <c r="C68" s="5">
        <f>IFERROR(__xludf.DUMMYFUNCTION("GOOGLEFINANCE(""TPE:"" &amp; A68, ""marketcap"") / GOOGLEFINANCE(""TPE:"" &amp; A68, ""price"")"),7.9556138660044155E9)</f>
        <v>7955613866</v>
      </c>
      <c r="D68" s="6">
        <f>IFERROR(__xludf.DUMMYFUNCTION("IF(ISBLANK(A68),,GOOGLEFINANCE(""TPE:""&amp;A68, ""price""))"),22.65)</f>
        <v>22.65</v>
      </c>
      <c r="E68" s="7">
        <f t="shared" si="1"/>
        <v>1801.946541</v>
      </c>
      <c r="F68" s="6">
        <f t="shared" si="2"/>
        <v>68</v>
      </c>
      <c r="G68" s="8" t="str">
        <f>IF(COUNTIF('0050_List'!A:A, A68), "✅", "")</f>
        <v/>
      </c>
    </row>
    <row r="69" ht="22.5" customHeight="1">
      <c r="A69" s="3">
        <v>2609.0</v>
      </c>
      <c r="B69" s="4" t="s">
        <v>74</v>
      </c>
      <c r="C69" s="5">
        <f>IFERROR(__xludf.DUMMYFUNCTION("GOOGLEFINANCE(""TPE:"" &amp; A69, ""marketcap"") / GOOGLEFINANCE(""TPE:"" &amp; A69, ""price"")"),3.4921028946837945E9)</f>
        <v>3492102895</v>
      </c>
      <c r="D69" s="6">
        <f>IFERROR(__xludf.DUMMYFUNCTION("IF(ISBLANK(A69),,GOOGLEFINANCE(""TPE:""&amp;A69, ""price""))"),50.6)</f>
        <v>50.6</v>
      </c>
      <c r="E69" s="7">
        <f t="shared" si="1"/>
        <v>1767.004065</v>
      </c>
      <c r="F69" s="6">
        <f t="shared" si="2"/>
        <v>69</v>
      </c>
      <c r="G69" s="8" t="str">
        <f>IF(COUNTIF('0050_List'!A:A, A69), "✅", "")</f>
        <v>✅</v>
      </c>
    </row>
    <row r="70" ht="22.5" customHeight="1">
      <c r="A70" s="3">
        <v>8046.0</v>
      </c>
      <c r="B70" s="4" t="s">
        <v>75</v>
      </c>
      <c r="C70" s="5">
        <f>IFERROR(__xludf.DUMMYFUNCTION("GOOGLEFINANCE(""TPE:"" &amp; A70, ""marketcap"") / GOOGLEFINANCE(""TPE:"" &amp; A70, ""price"")"),6.461655E8)</f>
        <v>646165500</v>
      </c>
      <c r="D70" s="6">
        <f>IFERROR(__xludf.DUMMYFUNCTION("IF(ISBLANK(A70),,GOOGLEFINANCE(""TPE:""&amp;A70, ""price""))"),280.0)</f>
        <v>280</v>
      </c>
      <c r="E70" s="7">
        <f t="shared" si="1"/>
        <v>1809.2634</v>
      </c>
      <c r="F70" s="6">
        <f t="shared" si="2"/>
        <v>66</v>
      </c>
      <c r="G70" s="8" t="str">
        <f>IF(COUNTIF('0050_List'!A:A, A70), "✅", "")</f>
        <v/>
      </c>
    </row>
    <row r="71" ht="22.5" customHeight="1">
      <c r="A71" s="3">
        <v>2356.0</v>
      </c>
      <c r="B71" s="4" t="s">
        <v>76</v>
      </c>
      <c r="C71" s="5">
        <f>IFERROR(__xludf.DUMMYFUNCTION("GOOGLEFINANCE(""TPE:"" &amp; A71, ""marketcap"") / GOOGLEFINANCE(""TPE:"" &amp; A71, ""price"")"),3.587475E9)</f>
        <v>3587475000</v>
      </c>
      <c r="D71" s="6">
        <f>IFERROR(__xludf.DUMMYFUNCTION("IF(ISBLANK(A71),,GOOGLEFINANCE(""TPE:""&amp;A71, ""price""))"),44.5)</f>
        <v>44.5</v>
      </c>
      <c r="E71" s="7">
        <f t="shared" si="1"/>
        <v>1596.426375</v>
      </c>
      <c r="F71" s="6">
        <f t="shared" si="2"/>
        <v>73</v>
      </c>
      <c r="G71" s="8" t="str">
        <f>IF(COUNTIF('0050_List'!A:A, A71), "✅", "")</f>
        <v/>
      </c>
    </row>
    <row r="72" ht="22.5" customHeight="1">
      <c r="A72" s="3">
        <v>2376.0</v>
      </c>
      <c r="B72" s="4" t="s">
        <v>77</v>
      </c>
      <c r="C72" s="5">
        <f>IFERROR(__xludf.DUMMYFUNCTION("GOOGLEFINANCE(""TPE:"" &amp; A72, ""marketcap"") / GOOGLEFINANCE(""TPE:"" &amp; A72, ""price"")"),6.69889E8)</f>
        <v>669889000</v>
      </c>
      <c r="D72" s="6">
        <f>IFERROR(__xludf.DUMMYFUNCTION("IF(ISBLANK(A72),,GOOGLEFINANCE(""TPE:""&amp;A72, ""price""))"),244.5)</f>
        <v>244.5</v>
      </c>
      <c r="E72" s="7">
        <f t="shared" si="1"/>
        <v>1637.878605</v>
      </c>
      <c r="F72" s="6">
        <f t="shared" si="2"/>
        <v>72</v>
      </c>
      <c r="G72" s="8" t="str">
        <f>IF(COUNTIF('0050_List'!A:A, A72), "✅", "")</f>
        <v/>
      </c>
    </row>
    <row r="73" ht="22.5" customHeight="1">
      <c r="A73" s="3">
        <v>3044.0</v>
      </c>
      <c r="B73" s="4" t="s">
        <v>78</v>
      </c>
      <c r="C73" s="5">
        <f>IFERROR(__xludf.DUMMYFUNCTION("GOOGLEFINANCE(""TPE:"" &amp; A73, ""marketcap"") / GOOGLEFINANCE(""TPE:"" &amp; A73, ""price"")"),5.256059E8)</f>
        <v>525605900</v>
      </c>
      <c r="D73" s="6">
        <f>IFERROR(__xludf.DUMMYFUNCTION("IF(ISBLANK(A73),,GOOGLEFINANCE(""TPE:""&amp;A73, ""price""))"),312.5)</f>
        <v>312.5</v>
      </c>
      <c r="E73" s="7">
        <f t="shared" si="1"/>
        <v>1642.518438</v>
      </c>
      <c r="F73" s="6">
        <f t="shared" si="2"/>
        <v>71</v>
      </c>
      <c r="G73" s="8" t="str">
        <f>IF(COUNTIF('0050_List'!A:A, A73), "✅", "")</f>
        <v/>
      </c>
    </row>
    <row r="74" ht="22.5" customHeight="1">
      <c r="A74" s="3">
        <v>2834.0</v>
      </c>
      <c r="B74" s="4" t="s">
        <v>79</v>
      </c>
      <c r="C74" s="5">
        <f>IFERROR(__xludf.DUMMYFUNCTION("GOOGLEFINANCE(""TPE:"" &amp; A74, ""marketcap"") / GOOGLEFINANCE(""TPE:"" &amp; A74, ""price"")"),9.718061766792452E9)</f>
        <v>9718061767</v>
      </c>
      <c r="D74" s="6">
        <f>IFERROR(__xludf.DUMMYFUNCTION("IF(ISBLANK(A74),,GOOGLEFINANCE(""TPE:""&amp;A74, ""price""))"),15.9)</f>
        <v>15.9</v>
      </c>
      <c r="E74" s="7">
        <f t="shared" si="1"/>
        <v>1545.171821</v>
      </c>
      <c r="F74" s="6">
        <f t="shared" si="2"/>
        <v>75</v>
      </c>
      <c r="G74" s="8" t="str">
        <f>IF(COUNTIF('0050_List'!A:A, A74), "✅", "")</f>
        <v/>
      </c>
    </row>
    <row r="75" ht="22.5" customHeight="1">
      <c r="A75" s="3">
        <v>4958.0</v>
      </c>
      <c r="B75" s="4" t="s">
        <v>80</v>
      </c>
      <c r="C75" s="5">
        <f>IFERROR(__xludf.DUMMYFUNCTION("GOOGLEFINANCE(""TPE:"" &amp; A75, ""marketcap"") / GOOGLEFINANCE(""TPE:"" &amp; A75, ""price"")"),1.058414E9)</f>
        <v>1058414000</v>
      </c>
      <c r="D75" s="6">
        <f>IFERROR(__xludf.DUMMYFUNCTION("IF(ISBLANK(A75),,GOOGLEFINANCE(""TPE:""&amp;A75, ""price""))"),146.5)</f>
        <v>146.5</v>
      </c>
      <c r="E75" s="7">
        <f t="shared" si="1"/>
        <v>1550.57651</v>
      </c>
      <c r="F75" s="6">
        <f t="shared" si="2"/>
        <v>74</v>
      </c>
      <c r="G75" s="8" t="str">
        <f>IF(COUNTIF('0050_List'!A:A, A75), "✅", "")</f>
        <v/>
      </c>
    </row>
    <row r="76" ht="22.5" customHeight="1">
      <c r="A76" s="3">
        <v>2404.0</v>
      </c>
      <c r="B76" s="4" t="s">
        <v>81</v>
      </c>
      <c r="C76" s="5">
        <f>IFERROR(__xludf.DUMMYFUNCTION("GOOGLEFINANCE(""TPE:"" &amp; A76, ""marketcap"") / GOOGLEFINANCE(""TPE:"" &amp; A76, ""price"")"),1.905866E8)</f>
        <v>190586600</v>
      </c>
      <c r="D76" s="6">
        <f>IFERROR(__xludf.DUMMYFUNCTION("IF(ISBLANK(A76),,GOOGLEFINANCE(""TPE:""&amp;A76, ""price""))"),877.0)</f>
        <v>877</v>
      </c>
      <c r="E76" s="7">
        <f t="shared" si="1"/>
        <v>1671.444482</v>
      </c>
      <c r="F76" s="6">
        <f t="shared" si="2"/>
        <v>70</v>
      </c>
      <c r="G76" s="8" t="str">
        <f>IF(COUNTIF('0050_List'!A:A, A76), "✅", "")</f>
        <v/>
      </c>
    </row>
    <row r="77" ht="22.5" customHeight="1">
      <c r="A77" s="3">
        <v>1402.0</v>
      </c>
      <c r="B77" s="4" t="s">
        <v>82</v>
      </c>
      <c r="C77" s="5">
        <f>IFERROR(__xludf.DUMMYFUNCTION("GOOGLEFINANCE(""TPE:"" &amp; A77, ""marketcap"") / GOOGLEFINANCE(""TPE:"" &amp; A77, ""price"")"),5.352873E9)</f>
        <v>5352873000</v>
      </c>
      <c r="D77" s="6">
        <f>IFERROR(__xludf.DUMMYFUNCTION("IF(ISBLANK(A77),,GOOGLEFINANCE(""TPE:""&amp;A77, ""price""))"),28.25)</f>
        <v>28.25</v>
      </c>
      <c r="E77" s="7">
        <f t="shared" si="1"/>
        <v>1512.186623</v>
      </c>
      <c r="F77" s="6">
        <f t="shared" si="2"/>
        <v>77</v>
      </c>
      <c r="G77" s="8" t="str">
        <f>IF(COUNTIF('0050_List'!A:A, A77), "✅", "")</f>
        <v/>
      </c>
    </row>
    <row r="78" ht="22.5" customHeight="1">
      <c r="A78" s="3">
        <v>6770.0</v>
      </c>
      <c r="B78" s="4" t="s">
        <v>83</v>
      </c>
      <c r="C78" s="5">
        <f>IFERROR(__xludf.DUMMYFUNCTION("GOOGLEFINANCE(""TPE:"" &amp; A78, ""marketcap"") / GOOGLEFINANCE(""TPE:"" &amp; A78, ""price"")"),4.200325092334294E9)</f>
        <v>4200325092</v>
      </c>
      <c r="D78" s="6">
        <f>IFERROR(__xludf.DUMMYFUNCTION("IF(ISBLANK(A78),,GOOGLEFINANCE(""TPE:""&amp;A78, ""price""))"),34.7)</f>
        <v>34.7</v>
      </c>
      <c r="E78" s="7">
        <f t="shared" si="1"/>
        <v>1457.512807</v>
      </c>
      <c r="F78" s="6">
        <f t="shared" si="2"/>
        <v>78</v>
      </c>
      <c r="G78" s="8" t="str">
        <f>IF(COUNTIF('0050_List'!A:A, A78), "✅", "")</f>
        <v/>
      </c>
    </row>
    <row r="79" ht="22.5" customHeight="1">
      <c r="A79" s="3">
        <v>3533.0</v>
      </c>
      <c r="B79" s="4" t="s">
        <v>84</v>
      </c>
      <c r="C79" s="5">
        <f>IFERROR(__xludf.DUMMYFUNCTION("GOOGLEFINANCE(""TPE:"" &amp; A79, ""marketcap"") / GOOGLEFINANCE(""TPE:"" &amp; A79, ""price"")"),1.125347E8)</f>
        <v>112534700</v>
      </c>
      <c r="D79" s="6">
        <f>IFERROR(__xludf.DUMMYFUNCTION("IF(ISBLANK(A79),,GOOGLEFINANCE(""TPE:""&amp;A79, ""price""))"),1345.0)</f>
        <v>1345</v>
      </c>
      <c r="E79" s="7">
        <f t="shared" si="1"/>
        <v>1513.591715</v>
      </c>
      <c r="F79" s="6">
        <f t="shared" si="2"/>
        <v>76</v>
      </c>
      <c r="G79" s="8" t="str">
        <f>IF(COUNTIF('0050_List'!A:A, A79), "✅", "")</f>
        <v/>
      </c>
    </row>
    <row r="80" ht="22.5" customHeight="1">
      <c r="A80" s="3">
        <v>1605.0</v>
      </c>
      <c r="B80" s="4" t="s">
        <v>85</v>
      </c>
      <c r="C80" s="5">
        <f>IFERROR(__xludf.DUMMYFUNCTION("GOOGLEFINANCE(""TPE:"" &amp; A80, ""marketcap"") / GOOGLEFINANCE(""TPE:"" &amp; A80, ""price"")"),4.431331943444817E9)</f>
        <v>4431331943</v>
      </c>
      <c r="D80" s="6">
        <f>IFERROR(__xludf.DUMMYFUNCTION("IF(ISBLANK(A80),,GOOGLEFINANCE(""TPE:""&amp;A80, ""price""))"),29.9)</f>
        <v>29.9</v>
      </c>
      <c r="E80" s="7">
        <f t="shared" si="1"/>
        <v>1324.968251</v>
      </c>
      <c r="F80" s="6">
        <f t="shared" si="2"/>
        <v>80</v>
      </c>
      <c r="G80" s="8" t="str">
        <f>IF(COUNTIF('0050_List'!A:A, A80), "✅", "")</f>
        <v/>
      </c>
    </row>
    <row r="81" ht="22.5" customHeight="1">
      <c r="A81" s="3">
        <v>1102.0</v>
      </c>
      <c r="B81" s="4" t="s">
        <v>86</v>
      </c>
      <c r="C81" s="5">
        <f>IFERROR(__xludf.DUMMYFUNCTION("GOOGLEFINANCE(""TPE:"" &amp; A81, ""marketcap"") / GOOGLEFINANCE(""TPE:"" &amp; A81, ""price"")"),3.546563069896641E9)</f>
        <v>3546563070</v>
      </c>
      <c r="D81" s="6">
        <f>IFERROR(__xludf.DUMMYFUNCTION("IF(ISBLANK(A81),,GOOGLEFINANCE(""TPE:""&amp;A81, ""price""))"),38.7)</f>
        <v>38.7</v>
      </c>
      <c r="E81" s="7">
        <f t="shared" si="1"/>
        <v>1372.519908</v>
      </c>
      <c r="F81" s="6">
        <f t="shared" si="2"/>
        <v>79</v>
      </c>
      <c r="G81" s="8" t="str">
        <f>IF(COUNTIF('0050_List'!A:A, A81), "✅", "")</f>
        <v/>
      </c>
    </row>
    <row r="82" ht="22.5" customHeight="1">
      <c r="A82" s="3">
        <v>2324.0</v>
      </c>
      <c r="B82" s="4" t="s">
        <v>87</v>
      </c>
      <c r="C82" s="5">
        <f>IFERROR(__xludf.DUMMYFUNCTION("GOOGLEFINANCE(""TPE:"" &amp; A82, ""marketcap"") / GOOGLEFINANCE(""TPE:"" &amp; A82, ""price"")"),4.4071451122537565E9)</f>
        <v>4407145112</v>
      </c>
      <c r="D82" s="6">
        <f>IFERROR(__xludf.DUMMYFUNCTION("IF(ISBLANK(A82),,GOOGLEFINANCE(""TPE:""&amp;A82, ""price""))"),29.95)</f>
        <v>29.95</v>
      </c>
      <c r="E82" s="7">
        <f t="shared" si="1"/>
        <v>1319.939961</v>
      </c>
      <c r="F82" s="6">
        <f t="shared" si="2"/>
        <v>81</v>
      </c>
      <c r="G82" s="8" t="str">
        <f>IF(COUNTIF('0050_List'!A:A, A82), "✅", "")</f>
        <v/>
      </c>
    </row>
    <row r="83" ht="22.5" customHeight="1">
      <c r="A83" s="3">
        <v>2812.0</v>
      </c>
      <c r="B83" s="4" t="s">
        <v>88</v>
      </c>
      <c r="C83" s="5">
        <f>IFERROR(__xludf.DUMMYFUNCTION("GOOGLEFINANCE(""TPE:"" &amp; A83, ""marketcap"") / GOOGLEFINANCE(""TPE:"" &amp; A83, ""price"")"),6.021622891347518E9)</f>
        <v>6021622891</v>
      </c>
      <c r="D83" s="6">
        <f>IFERROR(__xludf.DUMMYFUNCTION("IF(ISBLANK(A83),,GOOGLEFINANCE(""TPE:""&amp;A83, ""price""))"),21.15)</f>
        <v>21.15</v>
      </c>
      <c r="E83" s="7">
        <f t="shared" si="1"/>
        <v>1273.573242</v>
      </c>
      <c r="F83" s="6">
        <f t="shared" si="2"/>
        <v>82</v>
      </c>
      <c r="G83" s="8" t="str">
        <f>IF(COUNTIF('0050_List'!A:A, A83), "✅", "")</f>
        <v/>
      </c>
    </row>
    <row r="84" ht="22.5" customHeight="1">
      <c r="A84" s="3">
        <v>3706.0</v>
      </c>
      <c r="B84" s="4" t="s">
        <v>89</v>
      </c>
      <c r="C84" s="5">
        <f>IFERROR(__xludf.DUMMYFUNCTION("GOOGLEFINANCE(""TPE:"" &amp; A84, ""marketcap"") / GOOGLEFINANCE(""TPE:"" &amp; A84, ""price"")"),1.3272120230375426E9)</f>
        <v>1327212023</v>
      </c>
      <c r="D84" s="6">
        <f>IFERROR(__xludf.DUMMYFUNCTION("IF(ISBLANK(A84),,GOOGLEFINANCE(""TPE:""&amp;A84, ""price""))"),87.9)</f>
        <v>87.9</v>
      </c>
      <c r="E84" s="7">
        <f t="shared" si="1"/>
        <v>1166.619368</v>
      </c>
      <c r="F84" s="6">
        <f t="shared" si="2"/>
        <v>87</v>
      </c>
      <c r="G84" s="8" t="str">
        <f>IF(COUNTIF('0050_List'!A:A, A84), "✅", "")</f>
        <v/>
      </c>
    </row>
    <row r="85" ht="22.5" customHeight="1">
      <c r="A85" s="3">
        <v>9910.0</v>
      </c>
      <c r="B85" s="4" t="s">
        <v>90</v>
      </c>
      <c r="C85" s="5">
        <f>IFERROR(__xludf.DUMMYFUNCTION("GOOGLEFINANCE(""TPE:"" &amp; A85, ""marketcap"") / GOOGLEFINANCE(""TPE:"" &amp; A85, ""price"")"),9.87483E8)</f>
        <v>987483000</v>
      </c>
      <c r="D85" s="6">
        <f>IFERROR(__xludf.DUMMYFUNCTION("IF(ISBLANK(A85),,GOOGLEFINANCE(""TPE:""&amp;A85, ""price""))"),123.0)</f>
        <v>123</v>
      </c>
      <c r="E85" s="7">
        <f t="shared" si="1"/>
        <v>1214.60409</v>
      </c>
      <c r="F85" s="6">
        <f t="shared" si="2"/>
        <v>83</v>
      </c>
      <c r="G85" s="8" t="str">
        <f>IF(COUNTIF('0050_List'!A:A, A85), "✅", "")</f>
        <v/>
      </c>
    </row>
    <row r="86" ht="22.5" customHeight="1">
      <c r="A86" s="3">
        <v>2474.0</v>
      </c>
      <c r="B86" s="4" t="s">
        <v>91</v>
      </c>
      <c r="C86" s="5">
        <f>IFERROR(__xludf.DUMMYFUNCTION("GOOGLEFINANCE(""TPE:"" &amp; A86, ""marketcap"") / GOOGLEFINANCE(""TPE:"" &amp; A86, ""price"")"),6.23669E8)</f>
        <v>623669000</v>
      </c>
      <c r="D86" s="6">
        <f>IFERROR(__xludf.DUMMYFUNCTION("IF(ISBLANK(A86),,GOOGLEFINANCE(""TPE:""&amp;A86, ""price""))"),194.0)</f>
        <v>194</v>
      </c>
      <c r="E86" s="7">
        <f t="shared" si="1"/>
        <v>1209.91786</v>
      </c>
      <c r="F86" s="6">
        <f t="shared" si="2"/>
        <v>84</v>
      </c>
      <c r="G86" s="8" t="str">
        <f>IF(COUNTIF('0050_List'!A:A, A86), "✅", "")</f>
        <v/>
      </c>
    </row>
    <row r="87" ht="22.5" customHeight="1">
      <c r="A87" s="3">
        <v>6239.0</v>
      </c>
      <c r="B87" s="4" t="s">
        <v>92</v>
      </c>
      <c r="C87" s="5">
        <f>IFERROR(__xludf.DUMMYFUNCTION("GOOGLEFINANCE(""TPE:"" &amp; A87, ""marketcap"") / GOOGLEFINANCE(""TPE:"" &amp; A87, ""price"")"),7.591468E8)</f>
        <v>759146800</v>
      </c>
      <c r="D87" s="6">
        <f>IFERROR(__xludf.DUMMYFUNCTION("IF(ISBLANK(A87),,GOOGLEFINANCE(""TPE:""&amp;A87, ""price""))"),159.0)</f>
        <v>159</v>
      </c>
      <c r="E87" s="7">
        <f t="shared" si="1"/>
        <v>1207.043412</v>
      </c>
      <c r="F87" s="6">
        <f t="shared" si="2"/>
        <v>85</v>
      </c>
      <c r="G87" s="8" t="str">
        <f>IF(COUNTIF('0050_List'!A:A, A87), "✅", "")</f>
        <v/>
      </c>
    </row>
    <row r="88" ht="22.5" customHeight="1">
      <c r="A88" s="3">
        <v>8210.0</v>
      </c>
      <c r="B88" s="4" t="s">
        <v>93</v>
      </c>
      <c r="C88" s="5">
        <f>IFERROR(__xludf.DUMMYFUNCTION("GOOGLEFINANCE(""TPE:"" &amp; A88, ""marketcap"") / GOOGLEFINANCE(""TPE:"" &amp; A88, ""price"")"),1.253191E8)</f>
        <v>125319100</v>
      </c>
      <c r="D88" s="6">
        <f>IFERROR(__xludf.DUMMYFUNCTION("IF(ISBLANK(A88),,GOOGLEFINANCE(""TPE:""&amp;A88, ""price""))"),899.0)</f>
        <v>899</v>
      </c>
      <c r="E88" s="7">
        <f t="shared" si="1"/>
        <v>1126.618709</v>
      </c>
      <c r="F88" s="6">
        <f t="shared" si="2"/>
        <v>90</v>
      </c>
      <c r="G88" s="8" t="str">
        <f>IF(COUNTIF('0050_List'!A:A, A88), "✅", "")</f>
        <v/>
      </c>
    </row>
    <row r="89" ht="22.5" customHeight="1">
      <c r="A89" s="3">
        <v>8464.0</v>
      </c>
      <c r="B89" s="4" t="s">
        <v>94</v>
      </c>
      <c r="C89" s="5">
        <f>IFERROR(__xludf.DUMMYFUNCTION("GOOGLEFINANCE(""TPE:"" &amp; A89, ""marketcap"") / GOOGLEFINANCE(""TPE:"" &amp; A89, ""price"")"),2.930201E8)</f>
        <v>293020100</v>
      </c>
      <c r="D89" s="6">
        <f>IFERROR(__xludf.DUMMYFUNCTION("IF(ISBLANK(A89),,GOOGLEFINANCE(""TPE:""&amp;A89, ""price""))"),393.0)</f>
        <v>393</v>
      </c>
      <c r="E89" s="7">
        <f t="shared" si="1"/>
        <v>1151.568993</v>
      </c>
      <c r="F89" s="6">
        <f t="shared" si="2"/>
        <v>88</v>
      </c>
      <c r="G89" s="8" t="str">
        <f>IF(COUNTIF('0050_List'!A:A, A89), "✅", "")</f>
        <v/>
      </c>
    </row>
    <row r="90" ht="22.5" customHeight="1">
      <c r="A90" s="3">
        <v>1476.0</v>
      </c>
      <c r="B90" s="4" t="s">
        <v>95</v>
      </c>
      <c r="C90" s="5">
        <f>IFERROR(__xludf.DUMMYFUNCTION("GOOGLEFINANCE(""TPE:"" &amp; A90, ""marketcap"") / GOOGLEFINANCE(""TPE:"" &amp; A90, ""price"")"),2.74367E8)</f>
        <v>274367000</v>
      </c>
      <c r="D90" s="6">
        <f>IFERROR(__xludf.DUMMYFUNCTION("IF(ISBLANK(A90),,GOOGLEFINANCE(""TPE:""&amp;A90, ""price""))"),393.0)</f>
        <v>393</v>
      </c>
      <c r="E90" s="7">
        <f t="shared" si="1"/>
        <v>1078.26231</v>
      </c>
      <c r="F90" s="6">
        <f t="shared" si="2"/>
        <v>94</v>
      </c>
      <c r="G90" s="8" t="str">
        <f>IF(COUNTIF('0050_List'!A:A, A90), "✅", "")</f>
        <v/>
      </c>
    </row>
    <row r="91" ht="22.5" customHeight="1">
      <c r="A91" s="3">
        <v>2610.0</v>
      </c>
      <c r="B91" s="4" t="s">
        <v>96</v>
      </c>
      <c r="C91" s="5">
        <f>IFERROR(__xludf.DUMMYFUNCTION("GOOGLEFINANCE(""TPE:"" &amp; A91, ""marketcap"") / GOOGLEFINANCE(""TPE:"" &amp; A91, ""price"")"),6.083924877195767E9)</f>
        <v>6083924877</v>
      </c>
      <c r="D91" s="6">
        <f>IFERROR(__xludf.DUMMYFUNCTION("IF(ISBLANK(A91),,GOOGLEFINANCE(""TPE:""&amp;A91, ""price""))"),18.9)</f>
        <v>18.9</v>
      </c>
      <c r="E91" s="7">
        <f t="shared" si="1"/>
        <v>1149.861802</v>
      </c>
      <c r="F91" s="6">
        <f t="shared" si="2"/>
        <v>89</v>
      </c>
      <c r="G91" s="8" t="str">
        <f>IF(COUNTIF('0050_List'!A:A, A91), "✅", "")</f>
        <v/>
      </c>
    </row>
    <row r="92" ht="22.5" customHeight="1">
      <c r="A92" s="3">
        <v>3481.0</v>
      </c>
      <c r="B92" s="4" t="s">
        <v>97</v>
      </c>
      <c r="C92" s="5">
        <f>IFERROR(__xludf.DUMMYFUNCTION("GOOGLEFINANCE(""TPE:"" &amp; A92, ""marketcap"") / GOOGLEFINANCE(""TPE:"" &amp; A92, ""price"")"),7.98919722E9)</f>
        <v>7989197220</v>
      </c>
      <c r="D92" s="6">
        <f>IFERROR(__xludf.DUMMYFUNCTION("IF(ISBLANK(A92),,GOOGLEFINANCE(""TPE:""&amp;A92, ""price""))"),13.85)</f>
        <v>13.85</v>
      </c>
      <c r="E92" s="7">
        <f t="shared" si="1"/>
        <v>1106.503815</v>
      </c>
      <c r="F92" s="6">
        <f t="shared" si="2"/>
        <v>92</v>
      </c>
      <c r="G92" s="8" t="str">
        <f>IF(COUNTIF('0050_List'!A:A, A92), "✅", "")</f>
        <v/>
      </c>
    </row>
    <row r="93" ht="22.5" customHeight="1">
      <c r="A93" s="3">
        <v>6139.0</v>
      </c>
      <c r="B93" s="4" t="s">
        <v>98</v>
      </c>
      <c r="C93" s="5">
        <f>IFERROR(__xludf.DUMMYFUNCTION("GOOGLEFINANCE(""TPE:"" &amp; A93, ""marketcap"") / GOOGLEFINANCE(""TPE:"" &amp; A93, ""price"")"),2.33607E8)</f>
        <v>233607000</v>
      </c>
      <c r="D93" s="6">
        <f>IFERROR(__xludf.DUMMYFUNCTION("IF(ISBLANK(A93),,GOOGLEFINANCE(""TPE:""&amp;A93, ""price""))"),508.0)</f>
        <v>508</v>
      </c>
      <c r="E93" s="7">
        <f t="shared" si="1"/>
        <v>1186.72356</v>
      </c>
      <c r="F93" s="6">
        <f t="shared" si="2"/>
        <v>86</v>
      </c>
      <c r="G93" s="8" t="str">
        <f>IF(COUNTIF('0050_List'!A:A, A93), "✅", "")</f>
        <v/>
      </c>
    </row>
    <row r="94" ht="22.5" customHeight="1">
      <c r="A94" s="3">
        <v>1802.0</v>
      </c>
      <c r="B94" s="4" t="s">
        <v>99</v>
      </c>
      <c r="C94" s="5">
        <f>IFERROR(__xludf.DUMMYFUNCTION("GOOGLEFINANCE(""TPE:"" &amp; A94, ""marketcap"") / GOOGLEFINANCE(""TPE:"" &amp; A94, ""price"")"),2.90806E9)</f>
        <v>2908060000</v>
      </c>
      <c r="D94" s="6">
        <f>IFERROR(__xludf.DUMMYFUNCTION("IF(ISBLANK(A94),,GOOGLEFINANCE(""TPE:""&amp;A94, ""price""))"),38.25)</f>
        <v>38.25</v>
      </c>
      <c r="E94" s="7">
        <f t="shared" si="1"/>
        <v>1112.33295</v>
      </c>
      <c r="F94" s="6">
        <f t="shared" si="2"/>
        <v>91</v>
      </c>
      <c r="G94" s="8" t="str">
        <f>IF(COUNTIF('0050_List'!A:A, A94), "✅", "")</f>
        <v/>
      </c>
    </row>
    <row r="95" ht="22.5" customHeight="1">
      <c r="A95" s="3">
        <v>6781.0</v>
      </c>
      <c r="B95" s="4" t="s">
        <v>100</v>
      </c>
      <c r="C95" s="5">
        <f>IFERROR(__xludf.DUMMYFUNCTION("GOOGLEFINANCE(""TPE:"" &amp; A95, ""marketcap"") / GOOGLEFINANCE(""TPE:"" &amp; A95, ""price"")"),8.541876E7)</f>
        <v>85418760</v>
      </c>
      <c r="D95" s="6">
        <f>IFERROR(__xludf.DUMMYFUNCTION("IF(ISBLANK(A95),,GOOGLEFINANCE(""TPE:""&amp;A95, ""price""))"),1295.0)</f>
        <v>1295</v>
      </c>
      <c r="E95" s="7">
        <f t="shared" si="1"/>
        <v>1106.172942</v>
      </c>
      <c r="F95" s="6">
        <f t="shared" si="2"/>
        <v>93</v>
      </c>
      <c r="G95" s="8" t="str">
        <f>IF(COUNTIF('0050_List'!A:A, A95), "✅", "")</f>
        <v/>
      </c>
    </row>
    <row r="96" ht="22.5" customHeight="1">
      <c r="A96" s="3">
        <v>3702.0</v>
      </c>
      <c r="B96" s="4" t="s">
        <v>101</v>
      </c>
      <c r="C96" s="5">
        <f>IFERROR(__xludf.DUMMYFUNCTION("GOOGLEFINANCE(""TPE:"" &amp; A96, ""marketcap"") / GOOGLEFINANCE(""TPE:"" &amp; A96, ""price"")"),1.679057E9)</f>
        <v>1679057000</v>
      </c>
      <c r="D96" s="6">
        <f>IFERROR(__xludf.DUMMYFUNCTION("IF(ISBLANK(A96),,GOOGLEFINANCE(""TPE:""&amp;A96, ""price""))"),64.0)</f>
        <v>64</v>
      </c>
      <c r="E96" s="7">
        <f t="shared" si="1"/>
        <v>1074.59648</v>
      </c>
      <c r="F96" s="6">
        <f t="shared" si="2"/>
        <v>95</v>
      </c>
      <c r="G96" s="8" t="str">
        <f>IF(COUNTIF('0050_List'!A:A, A96), "✅", "")</f>
        <v/>
      </c>
    </row>
    <row r="97" ht="22.5" customHeight="1">
      <c r="A97" s="3">
        <v>6805.0</v>
      </c>
      <c r="B97" s="4" t="s">
        <v>102</v>
      </c>
      <c r="C97" s="5">
        <f>IFERROR(__xludf.DUMMYFUNCTION("GOOGLEFINANCE(""TPE:"" &amp; A97, ""marketcap"") / GOOGLEFINANCE(""TPE:"" &amp; A97, ""price"")"),6.855388E7)</f>
        <v>68553880</v>
      </c>
      <c r="D97" s="6">
        <f>IFERROR(__xludf.DUMMYFUNCTION("IF(ISBLANK(A97),,GOOGLEFINANCE(""TPE:""&amp;A97, ""price""))"),1535.0)</f>
        <v>1535</v>
      </c>
      <c r="E97" s="7">
        <f t="shared" si="1"/>
        <v>1052.302058</v>
      </c>
      <c r="F97" s="6">
        <f t="shared" si="2"/>
        <v>96</v>
      </c>
      <c r="G97" s="8" t="str">
        <f>IF(COUNTIF('0050_List'!A:A, A97), "✅", "")</f>
        <v/>
      </c>
    </row>
    <row r="98" ht="22.5" customHeight="1">
      <c r="A98" s="3">
        <v>2347.0</v>
      </c>
      <c r="B98" s="4" t="s">
        <v>103</v>
      </c>
      <c r="C98" s="5">
        <f>IFERROR(__xludf.DUMMYFUNCTION("GOOGLEFINANCE(""TPE:"" &amp; A98, ""marketcap"") / GOOGLEFINANCE(""TPE:"" &amp; A98, ""price"")"),1.6679469576372712E9)</f>
        <v>1667946958</v>
      </c>
      <c r="D98" s="6">
        <f>IFERROR(__xludf.DUMMYFUNCTION("IF(ISBLANK(A98),,GOOGLEFINANCE(""TPE:""&amp;A98, ""price""))"),60.1)</f>
        <v>60.1</v>
      </c>
      <c r="E98" s="7">
        <f t="shared" si="1"/>
        <v>1002.436122</v>
      </c>
      <c r="F98" s="6">
        <f t="shared" si="2"/>
        <v>97</v>
      </c>
      <c r="G98" s="8" t="str">
        <f>IF(COUNTIF('0050_List'!A:A, A98), "✅", "")</f>
        <v/>
      </c>
    </row>
    <row r="99" ht="22.5" customHeight="1">
      <c r="A99" s="3">
        <v>2105.0</v>
      </c>
      <c r="B99" s="4" t="s">
        <v>104</v>
      </c>
      <c r="C99" s="5">
        <f>IFERROR(__xludf.DUMMYFUNCTION("GOOGLEFINANCE(""TPE:"" &amp; A99, ""marketcap"") / GOOGLEFINANCE(""TPE:"" &amp; A99, ""price"")"),3.2414169196753244E9)</f>
        <v>3241416920</v>
      </c>
      <c r="D99" s="6">
        <f>IFERROR(__xludf.DUMMYFUNCTION("IF(ISBLANK(A99),,GOOGLEFINANCE(""TPE:""&amp;A99, ""price""))"),30.8)</f>
        <v>30.8</v>
      </c>
      <c r="E99" s="7">
        <f t="shared" si="1"/>
        <v>998.3564113</v>
      </c>
      <c r="F99" s="6">
        <f t="shared" si="2"/>
        <v>98</v>
      </c>
      <c r="G99" s="8" t="str">
        <f>IF(COUNTIF('0050_List'!A:A, A99), "✅", "")</f>
        <v/>
      </c>
    </row>
    <row r="100" ht="22.5" customHeight="1">
      <c r="A100" s="3">
        <v>6515.0</v>
      </c>
      <c r="B100" s="4" t="s">
        <v>105</v>
      </c>
      <c r="C100" s="5">
        <f>IFERROR(__xludf.DUMMYFUNCTION("GOOGLEFINANCE(""TPE:"" &amp; A100, ""marketcap"") / GOOGLEFINANCE(""TPE:"" &amp; A100, ""price"")"),3.604164E7)</f>
        <v>36041640</v>
      </c>
      <c r="D100" s="6">
        <f>IFERROR(__xludf.DUMMYFUNCTION("IF(ISBLANK(A100),,GOOGLEFINANCE(""TPE:""&amp;A100, ""price""))"),2685.0)</f>
        <v>2685</v>
      </c>
      <c r="E100" s="7">
        <f t="shared" si="1"/>
        <v>967.718034</v>
      </c>
      <c r="F100" s="6">
        <f t="shared" si="2"/>
        <v>99</v>
      </c>
      <c r="G100" s="8" t="str">
        <f>IF(COUNTIF('0050_List'!A:A, A100), "✅", "")</f>
        <v/>
      </c>
    </row>
    <row r="101" ht="22.5" customHeight="1">
      <c r="A101" s="3">
        <v>6409.0</v>
      </c>
      <c r="B101" s="4" t="s">
        <v>106</v>
      </c>
      <c r="C101" s="5">
        <f>IFERROR(__xludf.DUMMYFUNCTION("GOOGLEFINANCE(""TPE:"" &amp; A101, ""marketcap"") / GOOGLEFINANCE(""TPE:"" &amp; A101, ""price"")"),8.771137E7)</f>
        <v>87711370</v>
      </c>
      <c r="D101" s="6">
        <f>IFERROR(__xludf.DUMMYFUNCTION("IF(ISBLANK(A101),,GOOGLEFINANCE(""TPE:""&amp;A101, ""price""))"),1025.0)</f>
        <v>1025</v>
      </c>
      <c r="E101" s="7">
        <f t="shared" si="1"/>
        <v>899.0415425</v>
      </c>
      <c r="F101" s="6" t="str">
        <f t="shared" si="2"/>
        <v>#N/A</v>
      </c>
      <c r="G101" s="8" t="str">
        <f>IF(COUNTIF('0050_List'!A:A, A101), "✅", "")</f>
        <v/>
      </c>
    </row>
    <row r="102" ht="22.5" customHeight="1">
      <c r="A102" s="3">
        <v>2313.0</v>
      </c>
      <c r="B102" s="4" t="s">
        <v>107</v>
      </c>
      <c r="C102" s="5">
        <f>IFERROR(__xludf.DUMMYFUNCTION("GOOGLEFINANCE(""TPE:"" &amp; A102, ""marketcap"") / GOOGLEFINANCE(""TPE:"" &amp; A102, ""price"")"),1.191820021798561E9)</f>
        <v>1191820022</v>
      </c>
      <c r="D102" s="6">
        <f>IFERROR(__xludf.DUMMYFUNCTION("IF(ISBLANK(A102),,GOOGLEFINANCE(""TPE:""&amp;A102, ""price""))"),83.4)</f>
        <v>83.4</v>
      </c>
      <c r="E102" s="7">
        <f t="shared" si="1"/>
        <v>993.9778982</v>
      </c>
      <c r="F102" s="6" t="str">
        <f t="shared" si="2"/>
        <v>#N/A</v>
      </c>
      <c r="G102" s="8" t="str">
        <f>IF(COUNTIF('0050_List'!A:A, A102), "✅", "")</f>
        <v/>
      </c>
    </row>
    <row r="103" ht="22.5" customHeight="1">
      <c r="A103" s="3">
        <v>5269.0</v>
      </c>
      <c r="B103" s="4" t="s">
        <v>108</v>
      </c>
      <c r="C103" s="5">
        <f>IFERROR(__xludf.DUMMYFUNCTION("GOOGLEFINANCE(""TPE:"" &amp; A103, ""marketcap"") / GOOGLEFINANCE(""TPE:"" &amp; A103, ""price"")"),7.477713E7)</f>
        <v>74777130</v>
      </c>
      <c r="D103" s="6">
        <f>IFERROR(__xludf.DUMMYFUNCTION("IF(ISBLANK(A103),,GOOGLEFINANCE(""TPE:""&amp;A103, ""price""))"),1260.0)</f>
        <v>1260</v>
      </c>
      <c r="E103" s="7">
        <f t="shared" si="1"/>
        <v>942.191838</v>
      </c>
      <c r="F103" s="6" t="str">
        <f t="shared" si="2"/>
        <v>#N/A</v>
      </c>
      <c r="G103" s="8" t="str">
        <f>IF(COUNTIF('0050_List'!A:A, A103), "✅", "")</f>
        <v/>
      </c>
    </row>
    <row r="104" ht="22.5" customHeight="1">
      <c r="A104" s="3">
        <v>2027.0</v>
      </c>
      <c r="B104" s="4" t="s">
        <v>109</v>
      </c>
      <c r="C104" s="5">
        <f>IFERROR(__xludf.DUMMYFUNCTION("GOOGLEFINANCE(""TPE:"" &amp; A104, ""marketcap"") / GOOGLEFINANCE(""TPE:"" &amp; A104, ""price"")"),2.5842599460465117E9)</f>
        <v>2584259946</v>
      </c>
      <c r="D104" s="6">
        <f>IFERROR(__xludf.DUMMYFUNCTION("IF(ISBLANK(A104),,GOOGLEFINANCE(""TPE:""&amp;A104, ""price""))"),36.55)</f>
        <v>36.55</v>
      </c>
      <c r="E104" s="7">
        <f t="shared" si="1"/>
        <v>944.5470103</v>
      </c>
      <c r="F104" s="6" t="str">
        <f t="shared" si="2"/>
        <v>#N/A</v>
      </c>
      <c r="G104" s="8" t="str">
        <f>IF(COUNTIF('0050_List'!A:A, A104), "✅", "")</f>
        <v/>
      </c>
    </row>
    <row r="105" ht="22.5" customHeight="1">
      <c r="A105" s="3">
        <v>7799.0</v>
      </c>
      <c r="B105" s="4" t="s">
        <v>110</v>
      </c>
      <c r="C105" s="5">
        <f>IFERROR(__xludf.DUMMYFUNCTION("GOOGLEFINANCE(""TPE:"" &amp; A105, ""marketcap"") / GOOGLEFINANCE(""TPE:"" &amp; A105, ""price"")"),1.57512E8)</f>
        <v>157512000</v>
      </c>
      <c r="D105" s="6">
        <f>IFERROR(__xludf.DUMMYFUNCTION("IF(ISBLANK(A105),,GOOGLEFINANCE(""TPE:""&amp;A105, ""price""))"),575.0)</f>
        <v>575</v>
      </c>
      <c r="E105" s="7">
        <f t="shared" si="1"/>
        <v>905.694</v>
      </c>
      <c r="F105" s="6" t="str">
        <f t="shared" si="2"/>
        <v>#N/A</v>
      </c>
      <c r="G105" s="8" t="str">
        <f>IF(COUNTIF('0050_List'!A:A, A105), "✅", "")</f>
        <v/>
      </c>
    </row>
    <row r="106" ht="22.5" customHeight="1">
      <c r="A106" s="3">
        <v>2354.0</v>
      </c>
      <c r="B106" s="4" t="s">
        <v>111</v>
      </c>
      <c r="C106" s="5">
        <f>IFERROR(__xludf.DUMMYFUNCTION("GOOGLEFINANCE(""TPE:"" &amp; A106, ""marketcap"") / GOOGLEFINANCE(""TPE:"" &amp; A106, ""price"")"),1.4144849332766614E9)</f>
        <v>1414484933</v>
      </c>
      <c r="D106" s="6">
        <f>IFERROR(__xludf.DUMMYFUNCTION("IF(ISBLANK(A106),,GOOGLEFINANCE(""TPE:""&amp;A106, ""price""))"),64.7)</f>
        <v>64.7</v>
      </c>
      <c r="E106" s="7">
        <f t="shared" si="1"/>
        <v>915.1717518</v>
      </c>
      <c r="F106" s="6" t="str">
        <f t="shared" si="2"/>
        <v>#N/A</v>
      </c>
      <c r="G106" s="8" t="str">
        <f>IF(COUNTIF('0050_List'!A:A, A106), "✅", "")</f>
        <v/>
      </c>
    </row>
    <row r="107" ht="22.5" customHeight="1">
      <c r="A107" s="3">
        <v>2385.0</v>
      </c>
      <c r="B107" s="4" t="s">
        <v>112</v>
      </c>
      <c r="C107" s="5">
        <f>IFERROR(__xludf.DUMMYFUNCTION("GOOGLEFINANCE(""TPE:"" &amp; A107, ""marketcap"") / GOOGLEFINANCE(""TPE:"" &amp; A107, ""price"")"),7.600531E8)</f>
        <v>760053100</v>
      </c>
      <c r="D107" s="6">
        <f>IFERROR(__xludf.DUMMYFUNCTION("IF(ISBLANK(A107),,GOOGLEFINANCE(""TPE:""&amp;A107, ""price""))"),116.0)</f>
        <v>116</v>
      </c>
      <c r="E107" s="7">
        <f t="shared" si="1"/>
        <v>881.661596</v>
      </c>
      <c r="F107" s="6" t="str">
        <f t="shared" si="2"/>
        <v>#N/A</v>
      </c>
      <c r="G107" s="8" t="str">
        <f>IF(COUNTIF('0050_List'!A:A, A107), "✅", "")</f>
        <v/>
      </c>
    </row>
    <row r="108" ht="22.5" customHeight="1">
      <c r="A108" s="3">
        <v>2377.0</v>
      </c>
      <c r="B108" s="4" t="s">
        <v>113</v>
      </c>
      <c r="C108" s="5">
        <f>IFERROR(__xludf.DUMMYFUNCTION("GOOGLEFINANCE(""TPE:"" &amp; A108, ""marketcap"") / GOOGLEFINANCE(""TPE:"" &amp; A108, ""price"")"),8.448561869168358E8)</f>
        <v>844856186.9</v>
      </c>
      <c r="D108" s="6">
        <f>IFERROR(__xludf.DUMMYFUNCTION("IF(ISBLANK(A108),,GOOGLEFINANCE(""TPE:""&amp;A108, ""price""))"),98.6)</f>
        <v>98.6</v>
      </c>
      <c r="E108" s="7">
        <f t="shared" si="1"/>
        <v>833.0282003</v>
      </c>
      <c r="F108" s="6" t="str">
        <f t="shared" si="2"/>
        <v>#N/A</v>
      </c>
      <c r="G108" s="8" t="str">
        <f>IF(COUNTIF('0050_List'!A:A, A108), "✅", "")</f>
        <v/>
      </c>
    </row>
    <row r="109" ht="22.5" customHeight="1">
      <c r="A109" s="3">
        <v>6442.0</v>
      </c>
      <c r="B109" s="4" t="s">
        <v>114</v>
      </c>
      <c r="C109" s="5">
        <f>IFERROR(__xludf.DUMMYFUNCTION("GOOGLEFINANCE(""TPE:"" &amp; A109, ""marketcap"") / GOOGLEFINANCE(""TPE:"" &amp; A109, ""price"")"),7.734308E7)</f>
        <v>77343080</v>
      </c>
      <c r="D109" s="6">
        <f>IFERROR(__xludf.DUMMYFUNCTION("IF(ISBLANK(A109),,GOOGLEFINANCE(""TPE:""&amp;A109, ""price""))"),1250.0)</f>
        <v>1250</v>
      </c>
      <c r="E109" s="7">
        <f t="shared" si="1"/>
        <v>966.7885</v>
      </c>
      <c r="F109" s="6" t="str">
        <f t="shared" si="2"/>
        <v>#N/A</v>
      </c>
      <c r="G109" s="8" t="str">
        <f>IF(COUNTIF('0050_List'!A:A, A109), "✅", "")</f>
        <v/>
      </c>
    </row>
    <row r="110" ht="22.5" customHeight="1">
      <c r="A110" s="3">
        <v>9904.0</v>
      </c>
      <c r="B110" s="4" t="s">
        <v>115</v>
      </c>
      <c r="C110" s="5">
        <f>IFERROR(__xludf.DUMMYFUNCTION("GOOGLEFINANCE(""TPE:"" &amp; A110, ""marketcap"") / GOOGLEFINANCE(""TPE:"" &amp; A110, ""price"")"),2.9467869269805193E9)</f>
        <v>2946786927</v>
      </c>
      <c r="D110" s="6">
        <f>IFERROR(__xludf.DUMMYFUNCTION("IF(ISBLANK(A110),,GOOGLEFINANCE(""TPE:""&amp;A110, ""price""))"),30.8)</f>
        <v>30.8</v>
      </c>
      <c r="E110" s="7">
        <f t="shared" si="1"/>
        <v>907.6103735</v>
      </c>
      <c r="F110" s="6" t="str">
        <f t="shared" si="2"/>
        <v>#N/A</v>
      </c>
      <c r="G110" s="8" t="str">
        <f>IF(COUNTIF('0050_List'!A:A, A110), "✅", "")</f>
        <v/>
      </c>
    </row>
    <row r="111" ht="22.5" customHeight="1">
      <c r="A111" s="3">
        <v>1503.0</v>
      </c>
      <c r="B111" s="4" t="s">
        <v>116</v>
      </c>
      <c r="C111" s="5">
        <f>IFERROR(__xludf.DUMMYFUNCTION("GOOGLEFINANCE(""TPE:"" &amp; A111, ""marketcap"") / GOOGLEFINANCE(""TPE:"" &amp; A111, ""price"")"),5.209722E8)</f>
        <v>520972200</v>
      </c>
      <c r="D111" s="6">
        <f>IFERROR(__xludf.DUMMYFUNCTION("IF(ISBLANK(A111),,GOOGLEFINANCE(""TPE:""&amp;A111, ""price""))"),171.5)</f>
        <v>171.5</v>
      </c>
      <c r="E111" s="7">
        <f t="shared" si="1"/>
        <v>893.467323</v>
      </c>
      <c r="F111" s="6" t="str">
        <f t="shared" si="2"/>
        <v>#N/A</v>
      </c>
      <c r="G111" s="8" t="str">
        <f>IF(COUNTIF('0050_List'!A:A, A111), "✅", "")</f>
        <v/>
      </c>
    </row>
    <row r="112" ht="22.5" customHeight="1">
      <c r="A112" s="3">
        <v>2409.0</v>
      </c>
      <c r="B112" s="4" t="s">
        <v>117</v>
      </c>
      <c r="C112" s="5">
        <f>IFERROR(__xludf.DUMMYFUNCTION("GOOGLEFINANCE(""TPE:"" &amp; A112, ""marketcap"") / GOOGLEFINANCE(""TPE:"" &amp; A112, ""price"")"),7.547099248103449E9)</f>
        <v>7547099248</v>
      </c>
      <c r="D112" s="6">
        <f>IFERROR(__xludf.DUMMYFUNCTION("IF(ISBLANK(A112),,GOOGLEFINANCE(""TPE:""&amp;A112, ""price""))"),11.6)</f>
        <v>11.6</v>
      </c>
      <c r="E112" s="7">
        <f t="shared" si="1"/>
        <v>875.4635128</v>
      </c>
      <c r="F112" s="6" t="str">
        <f t="shared" si="2"/>
        <v>#N/A</v>
      </c>
      <c r="G112" s="8" t="str">
        <f>IF(COUNTIF('0050_List'!A:A, A112), "✅", "")</f>
        <v/>
      </c>
    </row>
    <row r="113" ht="22.5" customHeight="1">
      <c r="A113" s="3">
        <v>1229.0</v>
      </c>
      <c r="B113" s="4" t="s">
        <v>118</v>
      </c>
      <c r="C113" s="5">
        <f>IFERROR(__xludf.DUMMYFUNCTION("GOOGLEFINANCE(""TPE:"" &amp; A113, ""marketcap"") / GOOGLEFINANCE(""TPE:"" &amp; A113, ""price"")"),1.7959599707051284E9)</f>
        <v>1795959971</v>
      </c>
      <c r="D113" s="6">
        <f>IFERROR(__xludf.DUMMYFUNCTION("IF(ISBLANK(A113),,GOOGLEFINANCE(""TPE:""&amp;A113, ""price""))"),46.8)</f>
        <v>46.8</v>
      </c>
      <c r="E113" s="7">
        <f t="shared" si="1"/>
        <v>840.5092663</v>
      </c>
      <c r="F113" s="6" t="str">
        <f t="shared" si="2"/>
        <v>#N/A</v>
      </c>
      <c r="G113" s="8" t="str">
        <f>IF(COUNTIF('0050_List'!A:A, A113), "✅", "")</f>
        <v/>
      </c>
    </row>
    <row r="114" ht="22.5" customHeight="1">
      <c r="A114" s="3">
        <v>2838.0</v>
      </c>
      <c r="B114" s="4" t="s">
        <v>119</v>
      </c>
      <c r="C114" s="5">
        <f>IFERROR(__xludf.DUMMYFUNCTION("GOOGLEFINANCE(""TPE:"" &amp; A114, ""marketcap"") / GOOGLEFINANCE(""TPE:"" &amp; A114, ""price"")"),4.905317806062176E9)</f>
        <v>4905317806</v>
      </c>
      <c r="D114" s="6">
        <f>IFERROR(__xludf.DUMMYFUNCTION("IF(ISBLANK(A114),,GOOGLEFINANCE(""TPE:""&amp;A114, ""price""))"),19.3)</f>
        <v>19.3</v>
      </c>
      <c r="E114" s="7">
        <f t="shared" si="1"/>
        <v>946.7263366</v>
      </c>
      <c r="F114" s="6" t="str">
        <f t="shared" si="2"/>
        <v>#N/A</v>
      </c>
      <c r="G114" s="8" t="str">
        <f>IF(COUNTIF('0050_List'!A:A, A114), "✅", "")</f>
        <v/>
      </c>
    </row>
    <row r="115" ht="22.5" customHeight="1">
      <c r="A115" s="3">
        <v>9945.0</v>
      </c>
      <c r="B115" s="4" t="s">
        <v>120</v>
      </c>
      <c r="C115" s="5">
        <f>IFERROR(__xludf.DUMMYFUNCTION("GOOGLEFINANCE(""TPE:"" &amp; A115, ""marketcap"") / GOOGLEFINANCE(""TPE:"" &amp; A115, ""price"")"),2.844225037250859E9)</f>
        <v>2844225037</v>
      </c>
      <c r="D115" s="6">
        <f>IFERROR(__xludf.DUMMYFUNCTION("IF(ISBLANK(A115),,GOOGLEFINANCE(""TPE:""&amp;A115, ""price""))"),29.1)</f>
        <v>29.1</v>
      </c>
      <c r="E115" s="7">
        <f t="shared" si="1"/>
        <v>827.6694858</v>
      </c>
      <c r="F115" s="6" t="str">
        <f t="shared" si="2"/>
        <v>#N/A</v>
      </c>
      <c r="G115" s="8" t="str">
        <f>IF(COUNTIF('0050_List'!A:A, A115), "✅", "")</f>
        <v/>
      </c>
    </row>
    <row r="116" ht="22.5" customHeight="1">
      <c r="A116" s="3">
        <v>6789.0</v>
      </c>
      <c r="B116" s="4" t="s">
        <v>121</v>
      </c>
      <c r="C116" s="5">
        <f>IFERROR(__xludf.DUMMYFUNCTION("GOOGLEFINANCE(""TPE:"" &amp; A116, ""marketcap"") / GOOGLEFINANCE(""TPE:"" &amp; A116, ""price"")"),3.182991E8)</f>
        <v>318299100</v>
      </c>
      <c r="D116" s="6">
        <f>IFERROR(__xludf.DUMMYFUNCTION("IF(ISBLANK(A116),,GOOGLEFINANCE(""TPE:""&amp;A116, ""price""))"),270.5)</f>
        <v>270.5</v>
      </c>
      <c r="E116" s="7">
        <f t="shared" si="1"/>
        <v>860.9990655</v>
      </c>
      <c r="F116" s="6" t="str">
        <f t="shared" si="2"/>
        <v>#N/A</v>
      </c>
      <c r="G116" s="8" t="str">
        <f>IF(COUNTIF('0050_List'!A:A, A116), "✅", "")</f>
        <v/>
      </c>
    </row>
    <row r="117" ht="22.5" customHeight="1">
      <c r="A117" s="3">
        <v>1795.0</v>
      </c>
      <c r="B117" s="4" t="s">
        <v>122</v>
      </c>
      <c r="C117" s="5">
        <f>IFERROR(__xludf.DUMMYFUNCTION("GOOGLEFINANCE(""TPE:"" &amp; A117, ""marketcap"") / GOOGLEFINANCE(""TPE:"" &amp; A117, ""price"")"),2.669238E8)</f>
        <v>266923800</v>
      </c>
      <c r="D117" s="6">
        <f>IFERROR(__xludf.DUMMYFUNCTION("IF(ISBLANK(A117),,GOOGLEFINANCE(""TPE:""&amp;A117, ""price""))"),288.0)</f>
        <v>288</v>
      </c>
      <c r="E117" s="7">
        <f t="shared" si="1"/>
        <v>768.740544</v>
      </c>
      <c r="F117" s="6" t="str">
        <f t="shared" si="2"/>
        <v>#N/A</v>
      </c>
      <c r="G117" s="8" t="str">
        <f>IF(COUNTIF('0050_List'!A:A, A117), "✅", "")</f>
        <v/>
      </c>
    </row>
    <row r="118" ht="22.5" customHeight="1">
      <c r="A118" s="3">
        <v>2353.0</v>
      </c>
      <c r="B118" s="4" t="s">
        <v>123</v>
      </c>
      <c r="C118" s="5">
        <f>IFERROR(__xludf.DUMMYFUNCTION("GOOGLEFINANCE(""TPE:"" &amp; A118, ""marketcap"") / GOOGLEFINANCE(""TPE:"" &amp; A118, ""price"")"),3.0478530879017015E9)</f>
        <v>3047853088</v>
      </c>
      <c r="D118" s="6">
        <f>IFERROR(__xludf.DUMMYFUNCTION("IF(ISBLANK(A118),,GOOGLEFINANCE(""TPE:""&amp;A118, ""price""))"),26.45)</f>
        <v>26.45</v>
      </c>
      <c r="E118" s="7">
        <f t="shared" si="1"/>
        <v>806.1571418</v>
      </c>
      <c r="F118" s="6" t="str">
        <f t="shared" si="2"/>
        <v>#N/A</v>
      </c>
      <c r="G118" s="8" t="str">
        <f>IF(COUNTIF('0050_List'!A:A, A118), "✅", "")</f>
        <v/>
      </c>
    </row>
    <row r="119" ht="22.5" customHeight="1">
      <c r="A119" s="3">
        <v>2542.0</v>
      </c>
      <c r="B119" s="4" t="s">
        <v>124</v>
      </c>
      <c r="C119" s="5">
        <f>IFERROR(__xludf.DUMMYFUNCTION("GOOGLEFINANCE(""TPE:"" &amp; A119, ""marketcap"") / GOOGLEFINANCE(""TPE:"" &amp; A119, ""price"")"),2.1730830880478086E9)</f>
        <v>2173083088</v>
      </c>
      <c r="D119" s="6">
        <f>IFERROR(__xludf.DUMMYFUNCTION("IF(ISBLANK(A119),,GOOGLEFINANCE(""TPE:""&amp;A119, ""price""))"),37.65)</f>
        <v>37.65</v>
      </c>
      <c r="E119" s="7">
        <f t="shared" si="1"/>
        <v>818.1657827</v>
      </c>
      <c r="F119" s="6" t="str">
        <f t="shared" si="2"/>
        <v>#N/A</v>
      </c>
      <c r="G119" s="8" t="str">
        <f>IF(COUNTIF('0050_List'!A:A, A119), "✅", "")</f>
        <v/>
      </c>
    </row>
    <row r="120" ht="22.5" customHeight="1">
      <c r="A120" s="3">
        <v>6415.0</v>
      </c>
      <c r="B120" s="4" t="s">
        <v>125</v>
      </c>
      <c r="C120" s="5">
        <f>IFERROR(__xludf.DUMMYFUNCTION("GOOGLEFINANCE(""TPE:"" &amp; A120, ""marketcap"") / GOOGLEFINANCE(""TPE:"" &amp; A120, ""price"")"),3.884421E8)</f>
        <v>388442100</v>
      </c>
      <c r="D120" s="6">
        <f>IFERROR(__xludf.DUMMYFUNCTION("IF(ISBLANK(A120),,GOOGLEFINANCE(""TPE:""&amp;A120, ""price""))"),202.0)</f>
        <v>202</v>
      </c>
      <c r="E120" s="7">
        <f t="shared" si="1"/>
        <v>784.653042</v>
      </c>
      <c r="F120" s="6" t="str">
        <f t="shared" si="2"/>
        <v>#N/A</v>
      </c>
      <c r="G120" s="8" t="str">
        <f>IF(COUNTIF('0050_List'!A:A, A120), "✅", "")</f>
        <v/>
      </c>
    </row>
    <row r="121" ht="22.5" customHeight="1">
      <c r="A121" s="3">
        <v>2451.0</v>
      </c>
      <c r="B121" s="4" t="s">
        <v>126</v>
      </c>
      <c r="C121" s="5">
        <f>IFERROR(__xludf.DUMMYFUNCTION("GOOGLEFINANCE(""TPE:"" &amp; A121, ""marketcap"") / GOOGLEFINANCE(""TPE:"" &amp; A121, ""price"")"),4.307016E8)</f>
        <v>430701600</v>
      </c>
      <c r="D121" s="6">
        <f>IFERROR(__xludf.DUMMYFUNCTION("IF(ISBLANK(A121),,GOOGLEFINANCE(""TPE:""&amp;A121, ""price""))"),177.5)</f>
        <v>177.5</v>
      </c>
      <c r="E121" s="7">
        <f t="shared" si="1"/>
        <v>764.49534</v>
      </c>
      <c r="F121" s="6" t="str">
        <f t="shared" si="2"/>
        <v>#N/A</v>
      </c>
      <c r="G121" s="8" t="str">
        <f>IF(COUNTIF('0050_List'!A:A, A121), "✅", "")</f>
        <v/>
      </c>
    </row>
    <row r="122" ht="22.5" customHeight="1">
      <c r="A122" s="3">
        <v>1477.0</v>
      </c>
      <c r="B122" s="4" t="s">
        <v>127</v>
      </c>
      <c r="C122" s="5">
        <f>IFERROR(__xludf.DUMMYFUNCTION("GOOGLEFINANCE(""TPE:"" &amp; A122, ""marketcap"") / GOOGLEFINANCE(""TPE:"" &amp; A122, ""price"")"),2.466937E8)</f>
        <v>246693700</v>
      </c>
      <c r="D122" s="6">
        <f>IFERROR(__xludf.DUMMYFUNCTION("IF(ISBLANK(A122),,GOOGLEFINANCE(""TPE:""&amp;A122, ""price""))"),296.5)</f>
        <v>296.5</v>
      </c>
      <c r="E122" s="7">
        <f t="shared" si="1"/>
        <v>731.4468205</v>
      </c>
      <c r="F122" s="6" t="str">
        <f t="shared" si="2"/>
        <v>#N/A</v>
      </c>
      <c r="G122" s="8" t="str">
        <f>IF(COUNTIF('0050_List'!A:A, A122), "✅", "")</f>
        <v/>
      </c>
    </row>
    <row r="123" ht="22.5" customHeight="1">
      <c r="A123" s="3">
        <v>3005.0</v>
      </c>
      <c r="B123" s="4" t="s">
        <v>128</v>
      </c>
      <c r="C123" s="5">
        <f>IFERROR(__xludf.DUMMYFUNCTION("GOOGLEFINANCE(""TPE:"" &amp; A123, ""marketcap"") / GOOGLEFINANCE(""TPE:"" &amp; A123, ""price"")"),6.203578E8)</f>
        <v>620357800</v>
      </c>
      <c r="D123" s="6">
        <f>IFERROR(__xludf.DUMMYFUNCTION("IF(ISBLANK(A123),,GOOGLEFINANCE(""TPE:""&amp;A123, ""price""))"),122.0)</f>
        <v>122</v>
      </c>
      <c r="E123" s="7">
        <f t="shared" si="1"/>
        <v>756.836516</v>
      </c>
      <c r="F123" s="6" t="str">
        <f t="shared" si="2"/>
        <v>#N/A</v>
      </c>
      <c r="G123" s="8" t="str">
        <f>IF(COUNTIF('0050_List'!A:A, A123), "✅", "")</f>
        <v/>
      </c>
    </row>
    <row r="124" ht="22.5" customHeight="1">
      <c r="A124" s="3">
        <v>6526.0</v>
      </c>
      <c r="B124" s="4" t="s">
        <v>129</v>
      </c>
      <c r="C124" s="5">
        <f>IFERROR(__xludf.DUMMYFUNCTION("GOOGLEFINANCE(""TPE:"" &amp; A124, ""marketcap"") / GOOGLEFINANCE(""TPE:"" &amp; A124, ""price"")"),1.675055E8)</f>
        <v>167505500</v>
      </c>
      <c r="D124" s="6">
        <f>IFERROR(__xludf.DUMMYFUNCTION("IF(ISBLANK(A124),,GOOGLEFINANCE(""TPE:""&amp;A124, ""price""))"),458.0)</f>
        <v>458</v>
      </c>
      <c r="E124" s="7">
        <f t="shared" si="1"/>
        <v>767.17519</v>
      </c>
      <c r="F124" s="6" t="str">
        <f t="shared" si="2"/>
        <v>#N/A</v>
      </c>
      <c r="G124" s="8" t="str">
        <f>IF(COUNTIF('0050_List'!A:A, A124), "✅", "")</f>
        <v/>
      </c>
    </row>
    <row r="125" ht="22.5" customHeight="1">
      <c r="A125" s="3">
        <v>1513.0</v>
      </c>
      <c r="B125" s="4" t="s">
        <v>130</v>
      </c>
      <c r="C125" s="5">
        <f>IFERROR(__xludf.DUMMYFUNCTION("GOOGLEFINANCE(""TPE:"" &amp; A125, ""marketcap"") / GOOGLEFINANCE(""TPE:"" &amp; A125, ""price"")"),5.031125E8)</f>
        <v>503112500</v>
      </c>
      <c r="D125" s="6">
        <f>IFERROR(__xludf.DUMMYFUNCTION("IF(ISBLANK(A125),,GOOGLEFINANCE(""TPE:""&amp;A125, ""price""))"),150.5)</f>
        <v>150.5</v>
      </c>
      <c r="E125" s="7">
        <f t="shared" si="1"/>
        <v>757.1843125</v>
      </c>
      <c r="F125" s="6" t="str">
        <f t="shared" si="2"/>
        <v>#N/A</v>
      </c>
      <c r="G125" s="8" t="str">
        <f>IF(COUNTIF('0050_List'!A:A, A125), "✅", "")</f>
        <v/>
      </c>
    </row>
    <row r="126" ht="22.5" customHeight="1">
      <c r="A126" s="3">
        <v>2633.0</v>
      </c>
      <c r="B126" s="4" t="s">
        <v>131</v>
      </c>
      <c r="C126" s="5">
        <f>IFERROR(__xludf.DUMMYFUNCTION("GOOGLEFINANCE(""TPE:"" &amp; A126, ""marketcap"") / GOOGLEFINANCE(""TPE:"" &amp; A126, ""price"")"),5.628292077789855E9)</f>
        <v>5628292078</v>
      </c>
      <c r="D126" s="6">
        <f>IFERROR(__xludf.DUMMYFUNCTION("IF(ISBLANK(A126),,GOOGLEFINANCE(""TPE:""&amp;A126, ""price""))"),27.6)</f>
        <v>27.6</v>
      </c>
      <c r="E126" s="7">
        <f t="shared" si="1"/>
        <v>1553.408613</v>
      </c>
      <c r="F126" s="6" t="str">
        <f t="shared" si="2"/>
        <v>#N/A</v>
      </c>
      <c r="G126" s="8" t="str">
        <f>IF(COUNTIF('0050_List'!A:A, A126), "✅", "")</f>
        <v/>
      </c>
    </row>
    <row r="127" ht="22.5" customHeight="1">
      <c r="A127" s="3">
        <v>2371.0</v>
      </c>
      <c r="B127" s="4" t="s">
        <v>132</v>
      </c>
      <c r="C127" s="5">
        <f>IFERROR(__xludf.DUMMYFUNCTION("GOOGLEFINANCE(""TPE:"" &amp; A127, ""marketcap"") / GOOGLEFINANCE(""TPE:"" &amp; A127, ""price"")"),2.150834050152905E9)</f>
        <v>2150834050</v>
      </c>
      <c r="D127" s="6">
        <f>IFERROR(__xludf.DUMMYFUNCTION("IF(ISBLANK(A127),,GOOGLEFINANCE(""TPE:""&amp;A127, ""price""))"),32.7)</f>
        <v>32.7</v>
      </c>
      <c r="E127" s="7">
        <f t="shared" si="1"/>
        <v>703.3227344</v>
      </c>
      <c r="F127" s="6" t="str">
        <f t="shared" si="2"/>
        <v>#N/A</v>
      </c>
      <c r="G127" s="8" t="str">
        <f>IF(COUNTIF('0050_List'!A:A, A127), "✅", "")</f>
        <v/>
      </c>
    </row>
    <row r="128" ht="22.5" customHeight="1">
      <c r="A128" s="3">
        <v>2646.0</v>
      </c>
      <c r="B128" s="4" t="s">
        <v>133</v>
      </c>
      <c r="C128" s="5">
        <f>IFERROR(__xludf.DUMMYFUNCTION("GOOGLEFINANCE(""TPE:"" &amp; A128, ""marketcap"") / GOOGLEFINANCE(""TPE:"" &amp; A128, ""price"")"),3.0087350496536794E9)</f>
        <v>3008735050</v>
      </c>
      <c r="D128" s="6">
        <f>IFERROR(__xludf.DUMMYFUNCTION("IF(ISBLANK(A128),,GOOGLEFINANCE(""TPE:""&amp;A128, ""price""))"),23.1)</f>
        <v>23.1</v>
      </c>
      <c r="E128" s="7">
        <f t="shared" si="1"/>
        <v>695.0177965</v>
      </c>
      <c r="F128" s="6" t="str">
        <f t="shared" si="2"/>
        <v>#N/A</v>
      </c>
      <c r="G128" s="8" t="str">
        <f>IF(COUNTIF('0050_List'!A:A, A128), "✅", "")</f>
        <v/>
      </c>
    </row>
    <row r="129" ht="22.5" customHeight="1">
      <c r="A129" s="3">
        <v>2258.0</v>
      </c>
      <c r="B129" s="4" t="s">
        <v>134</v>
      </c>
      <c r="C129" s="5">
        <f>IFERROR(__xludf.DUMMYFUNCTION("GOOGLEFINANCE(""TPE:"" &amp; A129, ""marketcap"") / GOOGLEFINANCE(""TPE:"" &amp; A129, ""price"")"),1.741313E9)</f>
        <v>1741313000</v>
      </c>
      <c r="D129" s="6">
        <f>IFERROR(__xludf.DUMMYFUNCTION("IF(ISBLANK(A129),,GOOGLEFINANCE(""TPE:""&amp;A129, ""price""))"),39.0)</f>
        <v>39</v>
      </c>
      <c r="E129" s="7">
        <f t="shared" si="1"/>
        <v>679.11207</v>
      </c>
      <c r="F129" s="6" t="str">
        <f t="shared" si="2"/>
        <v>#N/A</v>
      </c>
      <c r="G129" s="8" t="str">
        <f>IF(COUNTIF('0050_List'!A:A, A129), "✅", "")</f>
        <v/>
      </c>
    </row>
    <row r="130" ht="22.5" customHeight="1">
      <c r="A130" s="3">
        <v>6531.0</v>
      </c>
      <c r="B130" s="4" t="s">
        <v>135</v>
      </c>
      <c r="C130" s="5">
        <f>IFERROR(__xludf.DUMMYFUNCTION("GOOGLEFINANCE(""TPE:"" &amp; A130, ""marketcap"") / GOOGLEFINANCE(""TPE:"" &amp; A130, ""price"")"),1.626627E8)</f>
        <v>162662700</v>
      </c>
      <c r="D130" s="6">
        <f>IFERROR(__xludf.DUMMYFUNCTION("IF(ISBLANK(A130),,GOOGLEFINANCE(""TPE:""&amp;A130, ""price""))"),403.0)</f>
        <v>403</v>
      </c>
      <c r="E130" s="7">
        <f t="shared" si="1"/>
        <v>655.530681</v>
      </c>
      <c r="F130" s="6" t="str">
        <f t="shared" si="2"/>
        <v>#N/A</v>
      </c>
      <c r="G130" s="8" t="str">
        <f>IF(COUNTIF('0050_List'!A:A, A130), "✅", "")</f>
        <v/>
      </c>
    </row>
    <row r="131" ht="22.5" customHeight="1">
      <c r="A131" s="3">
        <v>2049.0</v>
      </c>
      <c r="B131" s="4" t="s">
        <v>136</v>
      </c>
      <c r="C131" s="5">
        <f>IFERROR(__xludf.DUMMYFUNCTION("GOOGLEFINANCE(""TPE:"" &amp; A131, ""marketcap"") / GOOGLEFINANCE(""TPE:"" &amp; A131, ""price"")"),3.537922E8)</f>
        <v>353792200</v>
      </c>
      <c r="D131" s="6">
        <f>IFERROR(__xludf.DUMMYFUNCTION("IF(ISBLANK(A131),,GOOGLEFINANCE(""TPE:""&amp;A131, ""price""))"),200.0)</f>
        <v>200</v>
      </c>
      <c r="E131" s="7">
        <f t="shared" si="1"/>
        <v>707.5844</v>
      </c>
      <c r="F131" s="6" t="str">
        <f t="shared" si="2"/>
        <v>#N/A</v>
      </c>
      <c r="G131" s="8" t="str">
        <f>IF(COUNTIF('0050_List'!A:A, A131), "✅", "")</f>
        <v/>
      </c>
    </row>
    <row r="132" ht="22.5" customHeight="1">
      <c r="A132" s="3">
        <v>6472.0</v>
      </c>
      <c r="B132" s="4" t="s">
        <v>137</v>
      </c>
      <c r="C132" s="5">
        <f>IFERROR(__xludf.DUMMYFUNCTION("GOOGLEFINANCE(""TPE:"" &amp; A132, ""marketcap"") / GOOGLEFINANCE(""TPE:"" &amp; A132, ""price"")"),1.24448E8)</f>
        <v>124448000</v>
      </c>
      <c r="D132" s="6">
        <f>IFERROR(__xludf.DUMMYFUNCTION("IF(ISBLANK(A132),,GOOGLEFINANCE(""TPE:""&amp;A132, ""price""))"),506.0)</f>
        <v>506</v>
      </c>
      <c r="E132" s="7">
        <f t="shared" si="1"/>
        <v>629.70688</v>
      </c>
      <c r="F132" s="6" t="str">
        <f t="shared" si="2"/>
        <v>#N/A</v>
      </c>
      <c r="G132" s="8" t="str">
        <f>IF(COUNTIF('0050_List'!A:A, A132), "✅", "")</f>
        <v/>
      </c>
    </row>
    <row r="133" ht="22.5" customHeight="1">
      <c r="A133" s="3">
        <v>6890.0</v>
      </c>
      <c r="B133" s="4" t="s">
        <v>138</v>
      </c>
      <c r="C133" s="5">
        <f>IFERROR(__xludf.DUMMYFUNCTION("GOOGLEFINANCE(""TPE:"" &amp; A133, ""marketcap"") / GOOGLEFINANCE(""TPE:"" &amp; A133, ""price"")"),2.494E8)</f>
        <v>249400000</v>
      </c>
      <c r="D133" s="6">
        <f>IFERROR(__xludf.DUMMYFUNCTION("IF(ISBLANK(A133),,GOOGLEFINANCE(""TPE:""&amp;A133, ""price""))"),274.0)</f>
        <v>274</v>
      </c>
      <c r="E133" s="7">
        <f t="shared" si="1"/>
        <v>683.356</v>
      </c>
      <c r="F133" s="6" t="str">
        <f t="shared" si="2"/>
        <v>#N/A</v>
      </c>
      <c r="G133" s="8" t="str">
        <f>IF(COUNTIF('0050_List'!A:A, A133), "✅", "")</f>
        <v/>
      </c>
    </row>
    <row r="134" ht="22.5" customHeight="1">
      <c r="A134" s="3">
        <v>6191.0</v>
      </c>
      <c r="B134" s="4" t="s">
        <v>139</v>
      </c>
      <c r="C134" s="5">
        <f>IFERROR(__xludf.DUMMYFUNCTION("GOOGLEFINANCE(""TPE:"" &amp; A134, ""marketcap"") / GOOGLEFINANCE(""TPE:"" &amp; A134, ""price"")"),4.993029E8)</f>
        <v>499302900</v>
      </c>
      <c r="D134" s="6">
        <f>IFERROR(__xludf.DUMMYFUNCTION("IF(ISBLANK(A134),,GOOGLEFINANCE(""TPE:""&amp;A134, ""price""))"),120.0)</f>
        <v>120</v>
      </c>
      <c r="E134" s="7">
        <f t="shared" si="1"/>
        <v>599.16348</v>
      </c>
      <c r="F134" s="6" t="str">
        <f t="shared" si="2"/>
        <v>#N/A</v>
      </c>
      <c r="G134" s="8" t="str">
        <f>IF(COUNTIF('0050_List'!A:A, A134), "✅", "")</f>
        <v/>
      </c>
    </row>
    <row r="135" ht="22.5" customHeight="1">
      <c r="A135" s="3">
        <v>3189.0</v>
      </c>
      <c r="B135" s="4" t="s">
        <v>140</v>
      </c>
      <c r="C135" s="5">
        <f>IFERROR(__xludf.DUMMYFUNCTION("GOOGLEFINANCE(""TPE:"" &amp; A135, ""marketcap"") / GOOGLEFINANCE(""TPE:"" &amp; A135, ""price"")"),4.568126E8)</f>
        <v>456812600</v>
      </c>
      <c r="D135" s="6">
        <f>IFERROR(__xludf.DUMMYFUNCTION("IF(ISBLANK(A135),,GOOGLEFINANCE(""TPE:""&amp;A135, ""price""))"),152.5)</f>
        <v>152.5</v>
      </c>
      <c r="E135" s="7">
        <f t="shared" si="1"/>
        <v>696.639215</v>
      </c>
      <c r="F135" s="6" t="str">
        <f t="shared" si="2"/>
        <v>#N/A</v>
      </c>
      <c r="G135" s="8" t="str">
        <f>IF(COUNTIF('0050_List'!A:A, A135), "✅", "")</f>
        <v/>
      </c>
    </row>
    <row r="136" ht="22.5" customHeight="1">
      <c r="A136" s="3">
        <v>2337.0</v>
      </c>
      <c r="B136" s="4" t="s">
        <v>141</v>
      </c>
      <c r="C136" s="5">
        <f>IFERROR(__xludf.DUMMYFUNCTION("GOOGLEFINANCE(""TPE:"" &amp; A136, ""marketcap"") / GOOGLEFINANCE(""TPE:"" &amp; A136, ""price"")"),1.857348E9)</f>
        <v>1857348000</v>
      </c>
      <c r="D136" s="6">
        <f>IFERROR(__xludf.DUMMYFUNCTION("IF(ISBLANK(A136),,GOOGLEFINANCE(""TPE:""&amp;A136, ""price""))"),37.0)</f>
        <v>37</v>
      </c>
      <c r="E136" s="7">
        <f t="shared" si="1"/>
        <v>687.21876</v>
      </c>
      <c r="F136" s="6" t="str">
        <f t="shared" si="2"/>
        <v>#N/A</v>
      </c>
      <c r="G136" s="8" t="str">
        <f>IF(COUNTIF('0050_List'!A:A, A136), "✅", "")</f>
        <v/>
      </c>
    </row>
    <row r="137" ht="22.5" customHeight="1">
      <c r="A137" s="3">
        <v>2845.0</v>
      </c>
      <c r="B137" s="4" t="s">
        <v>142</v>
      </c>
      <c r="C137" s="5">
        <f>IFERROR(__xludf.DUMMYFUNCTION("GOOGLEFINANCE(""TPE:"" &amp; A137, ""marketcap"") / GOOGLEFINANCE(""TPE:"" &amp; A137, ""price"")"),4.865284147222222E9)</f>
        <v>4865284147</v>
      </c>
      <c r="D137" s="6">
        <f>IFERROR(__xludf.DUMMYFUNCTION("IF(ISBLANK(A137),,GOOGLEFINANCE(""TPE:""&amp;A137, ""price""))"),12.6)</f>
        <v>12.6</v>
      </c>
      <c r="E137" s="7">
        <f t="shared" si="1"/>
        <v>613.0258026</v>
      </c>
      <c r="F137" s="6" t="str">
        <f t="shared" si="2"/>
        <v>#N/A</v>
      </c>
      <c r="G137" s="8" t="str">
        <f>IF(COUNTIF('0050_List'!A:A, A137), "✅", "")</f>
        <v/>
      </c>
    </row>
    <row r="138" ht="22.5" customHeight="1">
      <c r="A138" s="3">
        <v>6691.0</v>
      </c>
      <c r="B138" s="4" t="s">
        <v>143</v>
      </c>
      <c r="C138" s="5">
        <f>IFERROR(__xludf.DUMMYFUNCTION("GOOGLEFINANCE(""TPE:"" &amp; A138, ""marketcap"") / GOOGLEFINANCE(""TPE:"" &amp; A138, ""price"")"),1.214872E8)</f>
        <v>121487200</v>
      </c>
      <c r="D138" s="6">
        <f>IFERROR(__xludf.DUMMYFUNCTION("IF(ISBLANK(A138),,GOOGLEFINANCE(""TPE:""&amp;A138, ""price""))"),570.0)</f>
        <v>570</v>
      </c>
      <c r="E138" s="7">
        <f t="shared" si="1"/>
        <v>692.47704</v>
      </c>
      <c r="F138" s="6" t="str">
        <f t="shared" si="2"/>
        <v>#N/A</v>
      </c>
      <c r="G138" s="8" t="str">
        <f>IF(COUNTIF('0050_List'!A:A, A138), "✅", "")</f>
        <v/>
      </c>
    </row>
    <row r="139" ht="22.5" customHeight="1">
      <c r="A139" s="3">
        <v>2889.0</v>
      </c>
      <c r="B139" s="4" t="s">
        <v>144</v>
      </c>
      <c r="C139" s="5">
        <f>IFERROR(__xludf.DUMMYFUNCTION("GOOGLEFINANCE(""TPE:"" &amp; A139, ""marketcap"") / GOOGLEFINANCE(""TPE:"" &amp; A139, ""price"")"),3.633562914117647E9)</f>
        <v>3633562914</v>
      </c>
      <c r="D139" s="6">
        <f>IFERROR(__xludf.DUMMYFUNCTION("IF(ISBLANK(A139),,GOOGLEFINANCE(""TPE:""&amp;A139, ""price""))"),16.15)</f>
        <v>16.15</v>
      </c>
      <c r="E139" s="7">
        <f t="shared" si="1"/>
        <v>586.8204106</v>
      </c>
      <c r="F139" s="6" t="str">
        <f t="shared" si="2"/>
        <v>#N/A</v>
      </c>
      <c r="G139" s="8" t="str">
        <f>IF(COUNTIF('0050_List'!A:A, A139), "✅", "")</f>
        <v/>
      </c>
    </row>
    <row r="140" ht="22.5" customHeight="1">
      <c r="A140" s="3">
        <v>2915.0</v>
      </c>
      <c r="B140" s="4" t="s">
        <v>145</v>
      </c>
      <c r="C140" s="5">
        <f>IFERROR(__xludf.DUMMYFUNCTION("GOOGLEFINANCE(""TPE:"" &amp; A140, ""marketcap"") / GOOGLEFINANCE(""TPE:"" &amp; A140, ""price"")"),1.1043179844751382E9)</f>
        <v>1104317984</v>
      </c>
      <c r="D140" s="6">
        <f>IFERROR(__xludf.DUMMYFUNCTION("IF(ISBLANK(A140),,GOOGLEFINANCE(""TPE:""&amp;A140, ""price""))"),54.3)</f>
        <v>54.3</v>
      </c>
      <c r="E140" s="7">
        <f t="shared" si="1"/>
        <v>599.6446656</v>
      </c>
      <c r="F140" s="6" t="str">
        <f t="shared" si="2"/>
        <v>#N/A</v>
      </c>
      <c r="G140" s="8" t="str">
        <f>IF(COUNTIF('0050_List'!A:A, A140), "✅", "")</f>
        <v/>
      </c>
    </row>
    <row r="141" ht="22.5" customHeight="1">
      <c r="A141" s="3">
        <v>8454.0</v>
      </c>
      <c r="B141" s="4" t="s">
        <v>146</v>
      </c>
      <c r="C141" s="5">
        <f>IFERROR(__xludf.DUMMYFUNCTION("GOOGLEFINANCE(""TPE:"" &amp; A141, ""marketcap"") / GOOGLEFINANCE(""TPE:"" &amp; A141, ""price"")"),2.649752E8)</f>
        <v>264975200</v>
      </c>
      <c r="D141" s="6">
        <f>IFERROR(__xludf.DUMMYFUNCTION("IF(ISBLANK(A141),,GOOGLEFINANCE(""TPE:""&amp;A141, ""price""))"),215.5)</f>
        <v>215.5</v>
      </c>
      <c r="E141" s="7">
        <f t="shared" si="1"/>
        <v>571.021556</v>
      </c>
      <c r="F141" s="6" t="str">
        <f t="shared" si="2"/>
        <v>#N/A</v>
      </c>
      <c r="G141" s="8" t="str">
        <f>IF(COUNTIF('0050_List'!A:A, A141), "✅", "")</f>
        <v/>
      </c>
    </row>
    <row r="142" ht="22.5" customHeight="1">
      <c r="A142" s="3">
        <v>2492.0</v>
      </c>
      <c r="B142" s="4" t="s">
        <v>147</v>
      </c>
      <c r="C142" s="5">
        <f>IFERROR(__xludf.DUMMYFUNCTION("GOOGLEFINANCE(""TPE:"" &amp; A142, ""marketcap"") / GOOGLEFINANCE(""TPE:"" &amp; A142, ""price"")"),4.858048E8)</f>
        <v>485804800</v>
      </c>
      <c r="D142" s="6">
        <f>IFERROR(__xludf.DUMMYFUNCTION("IF(ISBLANK(A142),,GOOGLEFINANCE(""TPE:""&amp;A142, ""price""))"),127.0)</f>
        <v>127</v>
      </c>
      <c r="E142" s="7">
        <f t="shared" si="1"/>
        <v>616.972096</v>
      </c>
      <c r="F142" s="6" t="str">
        <f t="shared" si="2"/>
        <v>#N/A</v>
      </c>
      <c r="G142" s="8" t="str">
        <f>IF(COUNTIF('0050_List'!A:A, A142), "✅", "")</f>
        <v/>
      </c>
    </row>
    <row r="143" ht="22.5" customHeight="1">
      <c r="A143" s="3">
        <v>5434.0</v>
      </c>
      <c r="B143" s="4" t="s">
        <v>148</v>
      </c>
      <c r="C143" s="5">
        <f>IFERROR(__xludf.DUMMYFUNCTION("GOOGLEFINANCE(""TPE:"" &amp; A143, ""marketcap"") / GOOGLEFINANCE(""TPE:"" &amp; A143, ""price"")"),1.913426E8)</f>
        <v>191342600</v>
      </c>
      <c r="D143" s="6">
        <f>IFERROR(__xludf.DUMMYFUNCTION("IF(ISBLANK(A143),,GOOGLEFINANCE(""TPE:""&amp;A143, ""price""))"),305.5)</f>
        <v>305.5</v>
      </c>
      <c r="E143" s="7">
        <f t="shared" si="1"/>
        <v>584.551643</v>
      </c>
      <c r="F143" s="6" t="str">
        <f t="shared" si="2"/>
        <v>#N/A</v>
      </c>
      <c r="G143" s="8" t="str">
        <f>IF(COUNTIF('0050_List'!A:A, A143), "✅", "")</f>
        <v/>
      </c>
    </row>
    <row r="144" ht="22.5" customHeight="1">
      <c r="A144" s="3">
        <v>1319.0</v>
      </c>
      <c r="B144" s="4" t="s">
        <v>149</v>
      </c>
      <c r="C144" s="5">
        <f>IFERROR(__xludf.DUMMYFUNCTION("GOOGLEFINANCE(""TPE:"" &amp; A144, ""marketcap"") / GOOGLEFINANCE(""TPE:"" &amp; A144, ""price"")"),5.914769799778271E8)</f>
        <v>591476980</v>
      </c>
      <c r="D144" s="6">
        <f>IFERROR(__xludf.DUMMYFUNCTION("IF(ISBLANK(A144),,GOOGLEFINANCE(""TPE:""&amp;A144, ""price""))"),90.2)</f>
        <v>90.2</v>
      </c>
      <c r="E144" s="7">
        <f t="shared" si="1"/>
        <v>533.5122359</v>
      </c>
      <c r="F144" s="6" t="str">
        <f t="shared" si="2"/>
        <v>#N/A</v>
      </c>
      <c r="G144" s="8" t="str">
        <f>IF(COUNTIF('0050_List'!A:A, A144), "✅", "")</f>
        <v/>
      </c>
    </row>
    <row r="145" ht="22.5" customHeight="1">
      <c r="A145" s="3">
        <v>6176.0</v>
      </c>
      <c r="B145" s="4" t="s">
        <v>150</v>
      </c>
      <c r="C145" s="5">
        <f>IFERROR(__xludf.DUMMYFUNCTION("GOOGLEFINANCE(""TPE:"" &amp; A145, ""marketcap"") / GOOGLEFINANCE(""TPE:"" &amp; A145, ""price"")"),4.650272E8)</f>
        <v>465027200</v>
      </c>
      <c r="D145" s="6">
        <f>IFERROR(__xludf.DUMMYFUNCTION("IF(ISBLANK(A145),,GOOGLEFINANCE(""TPE:""&amp;A145, ""price""))"),115.5)</f>
        <v>115.5</v>
      </c>
      <c r="E145" s="7">
        <f t="shared" si="1"/>
        <v>537.106416</v>
      </c>
      <c r="F145" s="6" t="str">
        <f t="shared" si="2"/>
        <v>#N/A</v>
      </c>
      <c r="G145" s="8" t="str">
        <f>IF(COUNTIF('0050_List'!A:A, A145), "✅", "")</f>
        <v/>
      </c>
    </row>
    <row r="146" ht="22.5" customHeight="1">
      <c r="A146" s="3">
        <v>2539.0</v>
      </c>
      <c r="B146" s="4" t="s">
        <v>151</v>
      </c>
      <c r="C146" s="5">
        <f>IFERROR(__xludf.DUMMYFUNCTION("GOOGLEFINANCE(""TPE:"" &amp; A146, ""marketcap"") / GOOGLEFINANCE(""TPE:"" &amp; A146, ""price"")"),1.193102E9)</f>
        <v>1193102000</v>
      </c>
      <c r="D146" s="6">
        <f>IFERROR(__xludf.DUMMYFUNCTION("IF(ISBLANK(A146),,GOOGLEFINANCE(""TPE:""&amp;A146, ""price""))"),48.0)</f>
        <v>48</v>
      </c>
      <c r="E146" s="7">
        <f t="shared" si="1"/>
        <v>572.68896</v>
      </c>
      <c r="F146" s="6" t="str">
        <f t="shared" si="2"/>
        <v>#N/A</v>
      </c>
      <c r="G146" s="8" t="str">
        <f>IF(COUNTIF('0050_List'!A:A, A146), "✅", "")</f>
        <v/>
      </c>
    </row>
    <row r="147" ht="22.5" customHeight="1">
      <c r="A147" s="3">
        <v>9941.0</v>
      </c>
      <c r="B147" s="4" t="s">
        <v>152</v>
      </c>
      <c r="C147" s="5">
        <f>IFERROR(__xludf.DUMMYFUNCTION("GOOGLEFINANCE(""TPE:"" &amp; A147, ""marketcap"") / GOOGLEFINANCE(""TPE:"" &amp; A147, ""price"")"),6.295484E8)</f>
        <v>629548400</v>
      </c>
      <c r="D147" s="6">
        <f>IFERROR(__xludf.DUMMYFUNCTION("IF(ISBLANK(A147),,GOOGLEFINANCE(""TPE:""&amp;A147, ""price""))"),91.0)</f>
        <v>91</v>
      </c>
      <c r="E147" s="7">
        <f t="shared" si="1"/>
        <v>572.889044</v>
      </c>
      <c r="F147" s="6" t="str">
        <f t="shared" si="2"/>
        <v>#N/A</v>
      </c>
      <c r="G147" s="8" t="str">
        <f>IF(COUNTIF('0050_List'!A:A, A147), "✅", "")</f>
        <v/>
      </c>
    </row>
    <row r="148" ht="22.5" customHeight="1">
      <c r="A148" s="3">
        <v>2645.0</v>
      </c>
      <c r="B148" s="4" t="s">
        <v>153</v>
      </c>
      <c r="C148" s="5">
        <f>IFERROR(__xludf.DUMMYFUNCTION("GOOGLEFINANCE(""TPE:"" &amp; A148, ""marketcap"") / GOOGLEFINANCE(""TPE:"" &amp; A148, ""price"")"),3.745709E8)</f>
        <v>374570900</v>
      </c>
      <c r="D148" s="6">
        <f>IFERROR(__xludf.DUMMYFUNCTION("IF(ISBLANK(A148),,GOOGLEFINANCE(""TPE:""&amp;A148, ""price""))"),142.0)</f>
        <v>142</v>
      </c>
      <c r="E148" s="7">
        <f t="shared" si="1"/>
        <v>531.890678</v>
      </c>
      <c r="F148" s="6" t="str">
        <f t="shared" si="2"/>
        <v>#N/A</v>
      </c>
      <c r="G148" s="8" t="str">
        <f>IF(COUNTIF('0050_List'!A:A, A148), "✅", "")</f>
        <v/>
      </c>
    </row>
    <row r="149" ht="22.5" customHeight="1">
      <c r="A149" s="3">
        <v>6005.0</v>
      </c>
      <c r="B149" s="4" t="s">
        <v>154</v>
      </c>
      <c r="C149" s="5">
        <f>IFERROR(__xludf.DUMMYFUNCTION("GOOGLEFINANCE(""TPE:"" &amp; A149, ""marketcap"") / GOOGLEFINANCE(""TPE:"" &amp; A149, ""price"")"),2.1709080663727455E9)</f>
        <v>2170908066</v>
      </c>
      <c r="D149" s="6">
        <f>IFERROR(__xludf.DUMMYFUNCTION("IF(ISBLANK(A149),,GOOGLEFINANCE(""TPE:""&amp;A149, ""price""))"),24.95)</f>
        <v>24.95</v>
      </c>
      <c r="E149" s="7">
        <f t="shared" si="1"/>
        <v>541.6415626</v>
      </c>
      <c r="F149" s="6" t="str">
        <f t="shared" si="2"/>
        <v>#N/A</v>
      </c>
      <c r="G149" s="8" t="str">
        <f>IF(COUNTIF('0050_List'!A:A, A149), "✅", "")</f>
        <v/>
      </c>
    </row>
    <row r="150" ht="22.5" customHeight="1">
      <c r="A150" s="3">
        <v>4763.0</v>
      </c>
      <c r="B150" s="4" t="s">
        <v>155</v>
      </c>
      <c r="C150" s="5">
        <f>IFERROR(__xludf.DUMMYFUNCTION("GOOGLEFINANCE(""TPE:"" &amp; A150, ""marketcap"") / GOOGLEFINANCE(""TPE:"" &amp; A150, ""price"")"),9.891466148717948E8)</f>
        <v>989146614.9</v>
      </c>
      <c r="D150" s="6">
        <f>IFERROR(__xludf.DUMMYFUNCTION("IF(ISBLANK(A150),,GOOGLEFINANCE(""TPE:""&amp;A150, ""price""))"),50.7)</f>
        <v>50.7</v>
      </c>
      <c r="E150" s="7">
        <f t="shared" si="1"/>
        <v>501.4973337</v>
      </c>
      <c r="F150" s="6" t="str">
        <f t="shared" si="2"/>
        <v>#N/A</v>
      </c>
      <c r="G150" s="8" t="str">
        <f>IF(COUNTIF('0050_List'!A:A, A150), "✅", "")</f>
        <v/>
      </c>
    </row>
    <row r="151" ht="22.5" customHeight="1">
      <c r="A151" s="3">
        <v>7750.0</v>
      </c>
      <c r="B151" s="4" t="s">
        <v>156</v>
      </c>
      <c r="C151" s="5">
        <f>IFERROR(__xludf.DUMMYFUNCTION("GOOGLEFINANCE(""TPE:"" &amp; A151, ""marketcap"") / GOOGLEFINANCE(""TPE:"" &amp; A151, ""price"")"),7.1843E7)</f>
        <v>71843000</v>
      </c>
      <c r="D151" s="6">
        <f>IFERROR(__xludf.DUMMYFUNCTION("IF(ISBLANK(A151),,GOOGLEFINANCE(""TPE:""&amp;A151, ""price""))"),779.0)</f>
        <v>779</v>
      </c>
      <c r="E151" s="7">
        <f t="shared" si="1"/>
        <v>559.65697</v>
      </c>
      <c r="F151" s="6" t="str">
        <f t="shared" si="2"/>
        <v>#N/A</v>
      </c>
      <c r="G151" s="8" t="str">
        <f>IF(COUNTIF('0050_List'!A:A, A151), "✅", "")</f>
        <v/>
      </c>
    </row>
  </sheetData>
  <conditionalFormatting sqref="F1:F1000">
    <cfRule type="cellIs" dxfId="0" priority="1" operator="between">
      <formula>51</formula>
      <formula>60</formula>
    </cfRule>
  </conditionalFormatting>
  <conditionalFormatting sqref="F1:F1000">
    <cfRule type="cellIs" dxfId="1" priority="2" operator="between">
      <formula>41</formula>
      <formula>50</formula>
    </cfRule>
  </conditionalFormatting>
  <conditionalFormatting sqref="F1:F1000">
    <cfRule type="cellIs" dxfId="2" priority="3" operator="lessThanOrEqual">
      <formula>40</formula>
    </cfRule>
  </conditionalFormatting>
  <dataValidations>
    <dataValidation type="custom" allowBlank="1" showDropDown="1" sqref="A2:A151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>
        <v>2330.0</v>
      </c>
      <c r="B1" s="10" t="s">
        <v>7</v>
      </c>
    </row>
    <row r="2">
      <c r="A2" s="10">
        <v>2317.0</v>
      </c>
      <c r="B2" s="10" t="s">
        <v>8</v>
      </c>
    </row>
    <row r="3">
      <c r="A3" s="10">
        <v>2454.0</v>
      </c>
      <c r="B3" s="10" t="s">
        <v>10</v>
      </c>
    </row>
    <row r="4">
      <c r="A4" s="10">
        <v>2308.0</v>
      </c>
      <c r="B4" s="10" t="s">
        <v>9</v>
      </c>
    </row>
    <row r="5">
      <c r="A5" s="10">
        <v>2382.0</v>
      </c>
      <c r="B5" s="10" t="s">
        <v>12</v>
      </c>
    </row>
    <row r="6">
      <c r="A6" s="10">
        <v>2891.0</v>
      </c>
      <c r="B6" s="10" t="s">
        <v>16</v>
      </c>
    </row>
    <row r="7">
      <c r="A7" s="10">
        <v>2881.0</v>
      </c>
      <c r="B7" s="10" t="s">
        <v>11</v>
      </c>
    </row>
    <row r="8">
      <c r="A8" s="10">
        <v>2882.0</v>
      </c>
      <c r="B8" s="10" t="s">
        <v>13</v>
      </c>
    </row>
    <row r="9">
      <c r="A9" s="10">
        <v>3711.0</v>
      </c>
      <c r="B9" s="10" t="s">
        <v>14</v>
      </c>
    </row>
    <row r="10">
      <c r="A10" s="10">
        <v>2303.0</v>
      </c>
      <c r="B10" s="10" t="s">
        <v>18</v>
      </c>
    </row>
    <row r="11">
      <c r="A11" s="10">
        <v>2345.0</v>
      </c>
      <c r="B11" s="10" t="s">
        <v>21</v>
      </c>
    </row>
    <row r="12">
      <c r="A12" s="10">
        <v>2884.0</v>
      </c>
      <c r="B12" s="10" t="s">
        <v>24</v>
      </c>
    </row>
    <row r="13">
      <c r="A13" s="10">
        <v>2412.0</v>
      </c>
      <c r="B13" s="10" t="s">
        <v>15</v>
      </c>
    </row>
    <row r="14">
      <c r="A14" s="10">
        <v>2886.0</v>
      </c>
      <c r="B14" s="10" t="s">
        <v>19</v>
      </c>
    </row>
    <row r="15">
      <c r="A15" s="10">
        <v>2357.0</v>
      </c>
      <c r="B15" s="10" t="s">
        <v>31</v>
      </c>
    </row>
    <row r="16">
      <c r="A16" s="10">
        <v>3231.0</v>
      </c>
      <c r="B16" s="10" t="s">
        <v>30</v>
      </c>
    </row>
    <row r="17">
      <c r="A17" s="10">
        <v>2887.0</v>
      </c>
      <c r="B17" s="10" t="s">
        <v>20</v>
      </c>
    </row>
    <row r="18">
      <c r="A18" s="10">
        <v>1216.0</v>
      </c>
      <c r="B18" s="10" t="s">
        <v>33</v>
      </c>
    </row>
    <row r="19">
      <c r="A19" s="10">
        <v>2885.0</v>
      </c>
      <c r="B19" s="10" t="s">
        <v>27</v>
      </c>
    </row>
    <row r="20">
      <c r="A20" s="10">
        <v>6669.0</v>
      </c>
      <c r="B20" s="10" t="s">
        <v>17</v>
      </c>
    </row>
    <row r="21">
      <c r="A21" s="10">
        <v>2383.0</v>
      </c>
      <c r="B21" s="10" t="s">
        <v>23</v>
      </c>
    </row>
    <row r="22">
      <c r="A22" s="10">
        <v>2301.0</v>
      </c>
      <c r="B22" s="10" t="s">
        <v>40</v>
      </c>
    </row>
    <row r="23">
      <c r="A23" s="10">
        <v>2892.0</v>
      </c>
      <c r="B23" s="10" t="s">
        <v>35</v>
      </c>
    </row>
    <row r="24">
      <c r="A24" s="10">
        <v>3017.0</v>
      </c>
      <c r="B24" s="10" t="s">
        <v>22</v>
      </c>
    </row>
    <row r="25">
      <c r="A25" s="10">
        <v>2890.0</v>
      </c>
      <c r="B25" s="10" t="s">
        <v>36</v>
      </c>
    </row>
    <row r="26">
      <c r="A26" s="10">
        <v>2880.0</v>
      </c>
      <c r="B26" s="10" t="s">
        <v>34</v>
      </c>
    </row>
    <row r="27">
      <c r="A27" s="10">
        <v>3661.0</v>
      </c>
      <c r="B27" s="10" t="s">
        <v>57</v>
      </c>
    </row>
    <row r="28">
      <c r="A28" s="10">
        <v>2379.0</v>
      </c>
      <c r="B28" s="10" t="s">
        <v>54</v>
      </c>
    </row>
    <row r="29">
      <c r="A29" s="10">
        <v>2327.0</v>
      </c>
      <c r="B29" s="10" t="s">
        <v>28</v>
      </c>
    </row>
    <row r="30">
      <c r="A30" s="10">
        <v>5880.0</v>
      </c>
      <c r="B30" s="10" t="s">
        <v>39</v>
      </c>
    </row>
    <row r="31">
      <c r="A31" s="10">
        <v>3034.0</v>
      </c>
      <c r="B31" s="10" t="s">
        <v>61</v>
      </c>
    </row>
    <row r="32">
      <c r="A32" s="10">
        <v>2883.0</v>
      </c>
      <c r="B32" s="10" t="s">
        <v>51</v>
      </c>
    </row>
    <row r="33">
      <c r="A33" s="10">
        <v>3008.0</v>
      </c>
      <c r="B33" s="10" t="s">
        <v>52</v>
      </c>
    </row>
    <row r="34">
      <c r="A34" s="10">
        <v>2002.0</v>
      </c>
      <c r="B34" s="10" t="s">
        <v>48</v>
      </c>
    </row>
    <row r="35">
      <c r="A35" s="10">
        <v>1303.0</v>
      </c>
      <c r="B35" s="10" t="s">
        <v>26</v>
      </c>
    </row>
    <row r="36">
      <c r="A36" s="10">
        <v>2603.0</v>
      </c>
      <c r="B36" s="10" t="s">
        <v>38</v>
      </c>
    </row>
    <row r="37">
      <c r="A37" s="10">
        <v>6919.0</v>
      </c>
      <c r="B37" s="10" t="s">
        <v>56</v>
      </c>
    </row>
    <row r="38">
      <c r="A38" s="10">
        <v>2059.0</v>
      </c>
      <c r="B38" s="10" t="s">
        <v>43</v>
      </c>
    </row>
    <row r="39">
      <c r="A39" s="10">
        <v>5871.0</v>
      </c>
      <c r="B39" s="10" t="s">
        <v>69</v>
      </c>
    </row>
    <row r="40">
      <c r="A40" s="10">
        <v>2207.0</v>
      </c>
      <c r="B40" s="10" t="s">
        <v>44</v>
      </c>
    </row>
    <row r="41">
      <c r="A41" s="10">
        <v>5876.0</v>
      </c>
      <c r="B41" s="10" t="s">
        <v>67</v>
      </c>
    </row>
    <row r="42">
      <c r="A42" s="10">
        <v>1301.0</v>
      </c>
      <c r="B42" s="10" t="s">
        <v>55</v>
      </c>
    </row>
    <row r="43">
      <c r="A43" s="10">
        <v>3045.0</v>
      </c>
      <c r="B43" s="10" t="s">
        <v>37</v>
      </c>
    </row>
    <row r="44">
      <c r="A44" s="10">
        <v>4904.0</v>
      </c>
      <c r="B44" s="10" t="s">
        <v>45</v>
      </c>
    </row>
    <row r="45">
      <c r="A45" s="10">
        <v>2395.0</v>
      </c>
      <c r="B45" s="10" t="s">
        <v>58</v>
      </c>
    </row>
    <row r="46">
      <c r="A46" s="10">
        <v>4938.0</v>
      </c>
      <c r="B46" s="10" t="s">
        <v>68</v>
      </c>
    </row>
    <row r="47">
      <c r="A47" s="10">
        <v>2912.0</v>
      </c>
      <c r="B47" s="10" t="s">
        <v>59</v>
      </c>
    </row>
    <row r="48">
      <c r="A48" s="10">
        <v>2615.0</v>
      </c>
      <c r="B48" s="10" t="s">
        <v>63</v>
      </c>
    </row>
    <row r="49">
      <c r="A49" s="10">
        <v>2609.0</v>
      </c>
      <c r="B49" s="10" t="s">
        <v>74</v>
      </c>
    </row>
    <row r="50">
      <c r="A50" s="10">
        <v>6505.0</v>
      </c>
      <c r="B50" s="10" t="s">
        <v>29</v>
      </c>
    </row>
    <row r="51">
      <c r="A51" s="10">
        <v>6446.0</v>
      </c>
      <c r="B51" s="10" t="s">
        <v>66</v>
      </c>
    </row>
  </sheetData>
  <hyperlinks>
    <hyperlink r:id="rId1" ref="A1"/>
    <hyperlink r:id="rId2" ref="B1"/>
    <hyperlink r:id="rId3" ref="A2"/>
    <hyperlink r:id="rId4" ref="B2"/>
    <hyperlink r:id="rId5" ref="A3"/>
    <hyperlink r:id="rId6" ref="B3"/>
    <hyperlink r:id="rId7" ref="A4"/>
    <hyperlink r:id="rId8" ref="B4"/>
    <hyperlink r:id="rId9" ref="A5"/>
    <hyperlink r:id="rId10" ref="B5"/>
    <hyperlink r:id="rId11" ref="A6"/>
    <hyperlink r:id="rId12" ref="B6"/>
    <hyperlink r:id="rId13" ref="A7"/>
    <hyperlink r:id="rId14" ref="B7"/>
    <hyperlink r:id="rId15" ref="A8"/>
    <hyperlink r:id="rId16" ref="B8"/>
    <hyperlink r:id="rId17" ref="A9"/>
    <hyperlink r:id="rId18" ref="B9"/>
    <hyperlink r:id="rId19" ref="A10"/>
    <hyperlink r:id="rId20" ref="B10"/>
    <hyperlink r:id="rId21" ref="A11"/>
    <hyperlink r:id="rId22" ref="B11"/>
    <hyperlink r:id="rId23" ref="A12"/>
    <hyperlink r:id="rId24" ref="B12"/>
    <hyperlink r:id="rId25" ref="A13"/>
    <hyperlink r:id="rId26" ref="B13"/>
    <hyperlink r:id="rId27" ref="A14"/>
    <hyperlink r:id="rId28" ref="B14"/>
    <hyperlink r:id="rId29" ref="A15"/>
    <hyperlink r:id="rId30" ref="B15"/>
    <hyperlink r:id="rId31" ref="A16"/>
    <hyperlink r:id="rId32" ref="B16"/>
    <hyperlink r:id="rId33" ref="A17"/>
    <hyperlink r:id="rId34" ref="B17"/>
    <hyperlink r:id="rId35" ref="A18"/>
    <hyperlink r:id="rId36" ref="B18"/>
    <hyperlink r:id="rId37" ref="A19"/>
    <hyperlink r:id="rId38" ref="B19"/>
    <hyperlink r:id="rId39" ref="A20"/>
    <hyperlink r:id="rId40" ref="B20"/>
    <hyperlink r:id="rId41" ref="A21"/>
    <hyperlink r:id="rId42" ref="B21"/>
    <hyperlink r:id="rId43" ref="A22"/>
    <hyperlink r:id="rId44" ref="B22"/>
    <hyperlink r:id="rId45" ref="A23"/>
    <hyperlink r:id="rId46" ref="B23"/>
    <hyperlink r:id="rId47" ref="A24"/>
    <hyperlink r:id="rId48" ref="B24"/>
    <hyperlink r:id="rId49" ref="A25"/>
    <hyperlink r:id="rId50" ref="B25"/>
    <hyperlink r:id="rId51" ref="A26"/>
    <hyperlink r:id="rId52" ref="B26"/>
    <hyperlink r:id="rId53" ref="A27"/>
    <hyperlink r:id="rId54" ref="B27"/>
    <hyperlink r:id="rId55" ref="A28"/>
    <hyperlink r:id="rId56" ref="B28"/>
    <hyperlink r:id="rId57" ref="A29"/>
    <hyperlink r:id="rId58" ref="B29"/>
    <hyperlink r:id="rId59" ref="A30"/>
    <hyperlink r:id="rId60" ref="B30"/>
    <hyperlink r:id="rId61" ref="A31"/>
    <hyperlink r:id="rId62" ref="B31"/>
    <hyperlink r:id="rId63" ref="A32"/>
    <hyperlink r:id="rId64" ref="B32"/>
    <hyperlink r:id="rId65" ref="A33"/>
    <hyperlink r:id="rId66" ref="B33"/>
    <hyperlink r:id="rId67" ref="A34"/>
    <hyperlink r:id="rId68" ref="B34"/>
    <hyperlink r:id="rId69" ref="A35"/>
    <hyperlink r:id="rId70" ref="B35"/>
    <hyperlink r:id="rId71" ref="A36"/>
    <hyperlink r:id="rId72" ref="B36"/>
    <hyperlink r:id="rId73" ref="A37"/>
    <hyperlink r:id="rId74" ref="B37"/>
    <hyperlink r:id="rId75" ref="A38"/>
    <hyperlink r:id="rId76" ref="B38"/>
    <hyperlink r:id="rId77" ref="A39"/>
    <hyperlink r:id="rId78" ref="B39"/>
    <hyperlink r:id="rId79" ref="A40"/>
    <hyperlink r:id="rId80" ref="B40"/>
    <hyperlink r:id="rId81" ref="A41"/>
    <hyperlink r:id="rId82" ref="B41"/>
    <hyperlink r:id="rId83" ref="A42"/>
    <hyperlink r:id="rId84" ref="B42"/>
    <hyperlink r:id="rId85" ref="A43"/>
    <hyperlink r:id="rId86" ref="B43"/>
    <hyperlink r:id="rId87" ref="A44"/>
    <hyperlink r:id="rId88" ref="B44"/>
    <hyperlink r:id="rId89" ref="A45"/>
    <hyperlink r:id="rId90" ref="B45"/>
    <hyperlink r:id="rId91" ref="A46"/>
    <hyperlink r:id="rId92" ref="B46"/>
    <hyperlink r:id="rId93" ref="A47"/>
    <hyperlink r:id="rId94" ref="B47"/>
    <hyperlink r:id="rId95" ref="A48"/>
    <hyperlink r:id="rId96" ref="B48"/>
    <hyperlink r:id="rId97" ref="A49"/>
    <hyperlink r:id="rId98" ref="B49"/>
    <hyperlink r:id="rId99" ref="A50"/>
    <hyperlink r:id="rId100" ref="B50"/>
    <hyperlink r:id="rId101" ref="A51"/>
    <hyperlink r:id="rId102" ref="B51"/>
  </hyperlinks>
  <drawing r:id="rId103"/>
</worksheet>
</file>